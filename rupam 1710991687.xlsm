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13_ncr:1_{1FD81A56-B861-45FE-B8F6-39CFE52423DA}" xr6:coauthVersionLast="44" xr6:coauthVersionMax="44" xr10:uidLastSave="{00000000-0000-0000-0000-000000000000}"/>
  <bookViews>
    <workbookView xWindow="-120" yWindow="-120" windowWidth="20730" windowHeight="11160" tabRatio="531" firstSheet="1" activeTab="2" xr2:uid="{00000000-000D-0000-FFFF-FFFF00000000}"/>
  </bookViews>
  <sheets>
    <sheet name="ChartsDataSheet" sheetId="73" state="veryHidden" r:id="rId1"/>
    <sheet name="calc" sheetId="72" r:id="rId2"/>
    <sheet name="dashboard" sheetId="74" r:id="rId3"/>
    <sheet name="Sheet2" sheetId="75" r:id="rId4"/>
    <sheet name="Sheet3" sheetId="76" r:id="rId5"/>
    <sheet name="data" sheetId="61" r:id="rId6"/>
  </sheets>
  <definedNames>
    <definedName name="_xlchart.v1.0" hidden="1">dashboard!$N$34</definedName>
    <definedName name="_xlchart.v1.1" hidden="1">dashboard!$N$35</definedName>
    <definedName name="_xlchart.v1.2" hidden="1">dashboard!$N$36</definedName>
    <definedName name="_xlchart.v1.3" hidden="1">dashboard!$O$33:$R$33</definedName>
    <definedName name="_xlchart.v1.4" hidden="1">dashboard!$O$34:$R$34</definedName>
    <definedName name="_xlchart.v1.5" hidden="1">dashboard!$O$35:$R$35</definedName>
    <definedName name="_xlchart.v1.6" hidden="1">dashboard!$O$36:$R$36</definedName>
    <definedName name="valHelpStatus">calc!#REF!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34" i="74" l="1"/>
  <c r="N33" i="74"/>
  <c r="P34" i="74"/>
  <c r="P3" i="75"/>
  <c r="F6" i="72"/>
  <c r="F7" i="72"/>
  <c r="F8" i="72"/>
  <c r="F9" i="72"/>
  <c r="L11" i="76" s="1"/>
  <c r="F10" i="72"/>
  <c r="F11" i="72"/>
  <c r="F12" i="72"/>
  <c r="F13" i="72"/>
  <c r="L15" i="76" s="1"/>
  <c r="F14" i="72"/>
  <c r="F15" i="72"/>
  <c r="F16" i="72"/>
  <c r="F17" i="72"/>
  <c r="F18" i="72"/>
  <c r="F19" i="72"/>
  <c r="F20" i="72"/>
  <c r="F21" i="72"/>
  <c r="F22" i="72"/>
  <c r="F23" i="72"/>
  <c r="F24" i="72"/>
  <c r="F25" i="72"/>
  <c r="F26" i="72"/>
  <c r="F27" i="72"/>
  <c r="F28" i="72"/>
  <c r="F29" i="72"/>
  <c r="F30" i="72"/>
  <c r="F31" i="72"/>
  <c r="F32" i="72"/>
  <c r="F33" i="72"/>
  <c r="F34" i="72"/>
  <c r="F35" i="72"/>
  <c r="F36" i="72"/>
  <c r="F37" i="72"/>
  <c r="F38" i="72"/>
  <c r="F39" i="72"/>
  <c r="F40" i="72"/>
  <c r="F41" i="72"/>
  <c r="F42" i="72"/>
  <c r="F43" i="72"/>
  <c r="F44" i="72"/>
  <c r="F45" i="72"/>
  <c r="F46" i="72"/>
  <c r="F47" i="72"/>
  <c r="F48" i="72"/>
  <c r="F49" i="72"/>
  <c r="F50" i="72"/>
  <c r="F51" i="72"/>
  <c r="F52" i="72"/>
  <c r="F53" i="72"/>
  <c r="F54" i="72"/>
  <c r="E41" i="72"/>
  <c r="E42" i="72"/>
  <c r="E43" i="72"/>
  <c r="E44" i="72"/>
  <c r="E45" i="72"/>
  <c r="E46" i="72"/>
  <c r="E47" i="72"/>
  <c r="E48" i="72"/>
  <c r="E49" i="72"/>
  <c r="E50" i="72"/>
  <c r="E51" i="72"/>
  <c r="E52" i="72"/>
  <c r="E6" i="72"/>
  <c r="E7" i="72"/>
  <c r="E8" i="72"/>
  <c r="E9" i="72"/>
  <c r="E10" i="72"/>
  <c r="E11" i="72"/>
  <c r="E12" i="72"/>
  <c r="E13" i="72"/>
  <c r="E14" i="72"/>
  <c r="E15" i="72"/>
  <c r="E16" i="72"/>
  <c r="E17" i="72"/>
  <c r="E18" i="72"/>
  <c r="E19" i="72"/>
  <c r="E20" i="72"/>
  <c r="E21" i="72"/>
  <c r="E22" i="72"/>
  <c r="E23" i="72"/>
  <c r="E24" i="72"/>
  <c r="E25" i="72"/>
  <c r="E26" i="72"/>
  <c r="E27" i="72"/>
  <c r="E28" i="72"/>
  <c r="E29" i="72"/>
  <c r="E30" i="72"/>
  <c r="E31" i="72"/>
  <c r="E32" i="72"/>
  <c r="E33" i="72"/>
  <c r="E34" i="72"/>
  <c r="E35" i="72"/>
  <c r="E36" i="72"/>
  <c r="E37" i="72"/>
  <c r="E38" i="72"/>
  <c r="E39" i="72"/>
  <c r="E40" i="72"/>
  <c r="D6" i="72"/>
  <c r="D7" i="72"/>
  <c r="D8" i="72"/>
  <c r="D9" i="72"/>
  <c r="D10" i="72"/>
  <c r="D11" i="72"/>
  <c r="D12" i="72"/>
  <c r="D13" i="72"/>
  <c r="D14" i="72"/>
  <c r="D15" i="72"/>
  <c r="D16" i="72"/>
  <c r="D17" i="72"/>
  <c r="D18" i="72"/>
  <c r="D19" i="72"/>
  <c r="D20" i="72"/>
  <c r="D21" i="72"/>
  <c r="D22" i="72"/>
  <c r="D23" i="72"/>
  <c r="D24" i="72"/>
  <c r="D25" i="72"/>
  <c r="D26" i="72"/>
  <c r="D27" i="72"/>
  <c r="D28" i="72"/>
  <c r="D29" i="72"/>
  <c r="D30" i="72"/>
  <c r="D31" i="72"/>
  <c r="D32" i="72"/>
  <c r="D33" i="72"/>
  <c r="D34" i="72"/>
  <c r="D35" i="72"/>
  <c r="D36" i="72"/>
  <c r="D37" i="72"/>
  <c r="D38" i="72"/>
  <c r="D39" i="72"/>
  <c r="D40" i="72"/>
  <c r="D41" i="72"/>
  <c r="D42" i="72"/>
  <c r="D43" i="72"/>
  <c r="D44" i="72"/>
  <c r="D45" i="72"/>
  <c r="D46" i="72"/>
  <c r="D47" i="72"/>
  <c r="D48" i="72"/>
  <c r="D49" i="72"/>
  <c r="D50" i="72"/>
  <c r="D51" i="72"/>
  <c r="D52" i="72"/>
  <c r="F5" i="72"/>
  <c r="L7" i="76" s="1"/>
  <c r="E5" i="72"/>
  <c r="D5" i="72"/>
  <c r="C6" i="72"/>
  <c r="C7" i="72"/>
  <c r="C8" i="72"/>
  <c r="C9" i="72"/>
  <c r="C10" i="72"/>
  <c r="C11" i="72"/>
  <c r="C12" i="72"/>
  <c r="C13" i="72"/>
  <c r="C14" i="72"/>
  <c r="C15" i="72"/>
  <c r="C16" i="72"/>
  <c r="C17" i="72"/>
  <c r="C18" i="72"/>
  <c r="C19" i="72"/>
  <c r="C20" i="72"/>
  <c r="C21" i="72"/>
  <c r="C22" i="72"/>
  <c r="C23" i="72"/>
  <c r="C24" i="72"/>
  <c r="C25" i="72"/>
  <c r="C26" i="72"/>
  <c r="C27" i="72"/>
  <c r="C28" i="72"/>
  <c r="C29" i="72"/>
  <c r="C30" i="72"/>
  <c r="C31" i="72"/>
  <c r="C32" i="72"/>
  <c r="C33" i="72"/>
  <c r="C34" i="72"/>
  <c r="C35" i="72"/>
  <c r="C36" i="72"/>
  <c r="C37" i="72"/>
  <c r="C38" i="72"/>
  <c r="C39" i="72"/>
  <c r="C40" i="72"/>
  <c r="C41" i="72"/>
  <c r="C42" i="72"/>
  <c r="C43" i="72"/>
  <c r="C44" i="72"/>
  <c r="C45" i="72"/>
  <c r="C46" i="72"/>
  <c r="C47" i="72"/>
  <c r="C48" i="72"/>
  <c r="C49" i="72"/>
  <c r="C50" i="72"/>
  <c r="C51" i="72"/>
  <c r="C52" i="72"/>
  <c r="C5" i="72"/>
  <c r="M7" i="76"/>
  <c r="L8" i="76"/>
  <c r="L9" i="76"/>
  <c r="L10" i="76"/>
  <c r="L12" i="76"/>
  <c r="L13" i="76"/>
  <c r="L14" i="76"/>
  <c r="L16" i="76"/>
  <c r="Q34" i="74"/>
  <c r="Q35" i="74"/>
  <c r="Q36" i="74"/>
  <c r="O35" i="74"/>
  <c r="O36" i="74"/>
  <c r="R34" i="74"/>
  <c r="P39" i="74" l="1"/>
  <c r="R40" i="74"/>
  <c r="P40" i="74"/>
  <c r="R39" i="74"/>
  <c r="H53" i="72"/>
  <c r="I53" i="72"/>
  <c r="P36" i="74" l="1"/>
  <c r="P35" i="74"/>
  <c r="R36" i="74"/>
  <c r="R35" i="74"/>
  <c r="G21" i="76"/>
  <c r="F21" i="76"/>
  <c r="E21" i="76"/>
  <c r="D21" i="76"/>
  <c r="G20" i="76"/>
  <c r="F20" i="76"/>
  <c r="E20" i="76"/>
  <c r="D20" i="76"/>
  <c r="E19" i="76"/>
  <c r="F19" i="76"/>
  <c r="G19" i="76"/>
  <c r="D19" i="76"/>
  <c r="C18" i="76"/>
  <c r="Q3" i="75"/>
  <c r="R3" i="75"/>
  <c r="O4" i="75"/>
  <c r="O5" i="75"/>
  <c r="R42" i="74" l="1"/>
  <c r="R41" i="74"/>
  <c r="P42" i="74"/>
  <c r="P41" i="74"/>
  <c r="P43" i="74"/>
  <c r="P44" i="74"/>
  <c r="R43" i="74"/>
  <c r="R44" i="74"/>
  <c r="L4" i="75"/>
  <c r="N8" i="76" s="1"/>
  <c r="L5" i="75"/>
  <c r="N9" i="76" s="1"/>
  <c r="L6" i="75"/>
  <c r="N10" i="76" s="1"/>
  <c r="L7" i="75"/>
  <c r="N11" i="76" s="1"/>
  <c r="L8" i="75"/>
  <c r="N12" i="76" s="1"/>
  <c r="L9" i="75"/>
  <c r="N13" i="76" s="1"/>
  <c r="L10" i="75"/>
  <c r="N14" i="76" s="1"/>
  <c r="L11" i="75"/>
  <c r="N15" i="76" s="1"/>
  <c r="L12" i="75"/>
  <c r="N16" i="76" s="1"/>
  <c r="L13" i="75"/>
  <c r="N17" i="76" s="1"/>
  <c r="L14" i="75"/>
  <c r="N18" i="76" s="1"/>
  <c r="L15" i="75"/>
  <c r="N19" i="76" s="1"/>
  <c r="L16" i="75"/>
  <c r="N20" i="76" s="1"/>
  <c r="L17" i="75"/>
  <c r="N21" i="76" s="1"/>
  <c r="L18" i="75"/>
  <c r="N22" i="76" s="1"/>
  <c r="L19" i="75"/>
  <c r="N23" i="76" s="1"/>
  <c r="L20" i="75"/>
  <c r="N24" i="76" s="1"/>
  <c r="L21" i="75"/>
  <c r="N25" i="76" s="1"/>
  <c r="L22" i="75"/>
  <c r="N26" i="76" s="1"/>
  <c r="L23" i="75"/>
  <c r="N27" i="76" s="1"/>
  <c r="L24" i="75"/>
  <c r="N28" i="76" s="1"/>
  <c r="L25" i="75"/>
  <c r="N29" i="76" s="1"/>
  <c r="L26" i="75"/>
  <c r="N30" i="76" s="1"/>
  <c r="L27" i="75"/>
  <c r="N31" i="76" s="1"/>
  <c r="L28" i="75"/>
  <c r="N32" i="76" s="1"/>
  <c r="L29" i="75"/>
  <c r="N33" i="76" s="1"/>
  <c r="L30" i="75"/>
  <c r="N34" i="76" s="1"/>
  <c r="L31" i="75"/>
  <c r="N35" i="76" s="1"/>
  <c r="L32" i="75"/>
  <c r="N36" i="76" s="1"/>
  <c r="L33" i="75"/>
  <c r="N37" i="76" s="1"/>
  <c r="L34" i="75"/>
  <c r="N38" i="76" s="1"/>
  <c r="L35" i="75"/>
  <c r="N39" i="76" s="1"/>
  <c r="L36" i="75"/>
  <c r="N40" i="76" s="1"/>
  <c r="L37" i="75"/>
  <c r="N41" i="76" s="1"/>
  <c r="L38" i="75"/>
  <c r="N42" i="76" s="1"/>
  <c r="L39" i="75"/>
  <c r="N43" i="76" s="1"/>
  <c r="L40" i="75"/>
  <c r="N44" i="76" s="1"/>
  <c r="L41" i="75"/>
  <c r="N45" i="76" s="1"/>
  <c r="L42" i="75"/>
  <c r="N46" i="76" s="1"/>
  <c r="L43" i="75"/>
  <c r="N47" i="76" s="1"/>
  <c r="L44" i="75"/>
  <c r="N48" i="76" s="1"/>
  <c r="L45" i="75"/>
  <c r="N49" i="76" s="1"/>
  <c r="L46" i="75"/>
  <c r="N50" i="76" s="1"/>
  <c r="L47" i="75"/>
  <c r="N51" i="76" s="1"/>
  <c r="L48" i="75"/>
  <c r="N52" i="76" s="1"/>
  <c r="L49" i="75"/>
  <c r="N53" i="76" s="1"/>
  <c r="L50" i="75"/>
  <c r="N54" i="76" s="1"/>
  <c r="L3" i="75"/>
  <c r="N7" i="76" s="1"/>
  <c r="K4" i="75"/>
  <c r="K5" i="75"/>
  <c r="K6" i="75"/>
  <c r="K7" i="75"/>
  <c r="K8" i="75"/>
  <c r="K9" i="75"/>
  <c r="K10" i="75"/>
  <c r="K11" i="75"/>
  <c r="K12" i="75"/>
  <c r="K13" i="75"/>
  <c r="K14" i="75"/>
  <c r="K15" i="75"/>
  <c r="K16" i="75"/>
  <c r="K17" i="75"/>
  <c r="K18" i="75"/>
  <c r="K19" i="75"/>
  <c r="K20" i="75"/>
  <c r="K21" i="75"/>
  <c r="K22" i="75"/>
  <c r="K23" i="75"/>
  <c r="K24" i="75"/>
  <c r="K25" i="75"/>
  <c r="K26" i="75"/>
  <c r="K27" i="75"/>
  <c r="K28" i="75"/>
  <c r="K29" i="75"/>
  <c r="K30" i="75"/>
  <c r="K31" i="75"/>
  <c r="K32" i="75"/>
  <c r="K33" i="75"/>
  <c r="K34" i="75"/>
  <c r="K35" i="75"/>
  <c r="K36" i="75"/>
  <c r="K37" i="75"/>
  <c r="K38" i="75"/>
  <c r="K39" i="75"/>
  <c r="K40" i="75"/>
  <c r="K41" i="75"/>
  <c r="K42" i="75"/>
  <c r="K43" i="75"/>
  <c r="K44" i="75"/>
  <c r="K45" i="75"/>
  <c r="K46" i="75"/>
  <c r="K47" i="75"/>
  <c r="K48" i="75"/>
  <c r="K49" i="75"/>
  <c r="K50" i="75"/>
  <c r="K3" i="75"/>
  <c r="I4" i="75"/>
  <c r="I5" i="75"/>
  <c r="I6" i="75"/>
  <c r="I7" i="75"/>
  <c r="I8" i="75"/>
  <c r="I9" i="75"/>
  <c r="I10" i="75"/>
  <c r="I11" i="75"/>
  <c r="I12" i="75"/>
  <c r="I13" i="75"/>
  <c r="I14" i="75"/>
  <c r="I15" i="75"/>
  <c r="I16" i="75"/>
  <c r="I17" i="75"/>
  <c r="I18" i="75"/>
  <c r="I19" i="75"/>
  <c r="I20" i="75"/>
  <c r="I21" i="75"/>
  <c r="I22" i="75"/>
  <c r="I23" i="75"/>
  <c r="I24" i="75"/>
  <c r="I25" i="75"/>
  <c r="I26" i="75"/>
  <c r="I27" i="75"/>
  <c r="I28" i="75"/>
  <c r="I29" i="75"/>
  <c r="I30" i="75"/>
  <c r="I31" i="75"/>
  <c r="I32" i="75"/>
  <c r="I33" i="75"/>
  <c r="I34" i="75"/>
  <c r="I35" i="75"/>
  <c r="I36" i="75"/>
  <c r="I37" i="75"/>
  <c r="I38" i="75"/>
  <c r="I39" i="75"/>
  <c r="I40" i="75"/>
  <c r="I41" i="75"/>
  <c r="I42" i="75"/>
  <c r="I43" i="75"/>
  <c r="I44" i="75"/>
  <c r="I45" i="75"/>
  <c r="I46" i="75"/>
  <c r="I47" i="75"/>
  <c r="I48" i="75"/>
  <c r="I49" i="75"/>
  <c r="I50" i="75"/>
  <c r="J4" i="75"/>
  <c r="J5" i="75"/>
  <c r="J6" i="75"/>
  <c r="J7" i="75"/>
  <c r="J8" i="75"/>
  <c r="J9" i="75"/>
  <c r="J10" i="75"/>
  <c r="J11" i="75"/>
  <c r="J12" i="75"/>
  <c r="J13" i="75"/>
  <c r="J14" i="75"/>
  <c r="J15" i="75"/>
  <c r="J16" i="75"/>
  <c r="J17" i="75"/>
  <c r="J18" i="75"/>
  <c r="J19" i="75"/>
  <c r="J20" i="75"/>
  <c r="J21" i="75"/>
  <c r="J22" i="75"/>
  <c r="J23" i="75"/>
  <c r="J24" i="75"/>
  <c r="J25" i="75"/>
  <c r="J26" i="75"/>
  <c r="J27" i="75"/>
  <c r="J28" i="75"/>
  <c r="J29" i="75"/>
  <c r="J30" i="75"/>
  <c r="J31" i="75"/>
  <c r="J32" i="75"/>
  <c r="J33" i="75"/>
  <c r="J34" i="75"/>
  <c r="J35" i="75"/>
  <c r="J36" i="75"/>
  <c r="J37" i="75"/>
  <c r="J38" i="75"/>
  <c r="J39" i="75"/>
  <c r="J40" i="75"/>
  <c r="J41" i="75"/>
  <c r="J42" i="75"/>
  <c r="J43" i="75"/>
  <c r="J44" i="75"/>
  <c r="J45" i="75"/>
  <c r="J46" i="75"/>
  <c r="J47" i="75"/>
  <c r="J48" i="75"/>
  <c r="J49" i="75"/>
  <c r="J50" i="75"/>
  <c r="J3" i="75"/>
  <c r="I3" i="75"/>
  <c r="M8" i="76"/>
  <c r="M9" i="76"/>
  <c r="M10" i="76"/>
  <c r="M11" i="76"/>
  <c r="M12" i="76"/>
  <c r="M13" i="76"/>
  <c r="M14" i="76"/>
  <c r="M15" i="76"/>
  <c r="M16" i="76"/>
  <c r="M17" i="76"/>
  <c r="M18" i="76"/>
  <c r="M19" i="76"/>
  <c r="M20" i="76"/>
  <c r="M21" i="76"/>
  <c r="M22" i="76"/>
  <c r="M23" i="76"/>
  <c r="M24" i="76"/>
  <c r="M25" i="76"/>
  <c r="M26" i="76"/>
  <c r="M27" i="76"/>
  <c r="M28" i="76"/>
  <c r="M29" i="76"/>
  <c r="M30" i="76"/>
  <c r="M31" i="76"/>
  <c r="M32" i="76"/>
  <c r="M33" i="76"/>
  <c r="M34" i="76"/>
  <c r="M35" i="76"/>
  <c r="M36" i="76"/>
  <c r="M37" i="76"/>
  <c r="M38" i="76"/>
  <c r="M39" i="76"/>
  <c r="M40" i="76"/>
  <c r="M41" i="76"/>
  <c r="M42" i="76"/>
  <c r="M43" i="76"/>
  <c r="M44" i="76"/>
  <c r="M45" i="76"/>
  <c r="M46" i="76"/>
  <c r="M47" i="76"/>
  <c r="M48" i="76"/>
  <c r="M49" i="76"/>
  <c r="M50" i="76"/>
  <c r="M51" i="76"/>
  <c r="M52" i="76"/>
  <c r="M53" i="76"/>
  <c r="M54" i="76"/>
  <c r="L6" i="72" l="1"/>
  <c r="L7" i="72"/>
  <c r="L8" i="72"/>
  <c r="L9" i="72"/>
  <c r="L10" i="72"/>
  <c r="L11" i="72"/>
  <c r="L12" i="72"/>
  <c r="L13" i="72"/>
  <c r="L14" i="72"/>
  <c r="L15" i="72"/>
  <c r="L16" i="72"/>
  <c r="L17" i="72"/>
  <c r="L18" i="72"/>
  <c r="L19" i="72"/>
  <c r="L20" i="72"/>
  <c r="L21" i="72"/>
  <c r="L22" i="72"/>
  <c r="L5" i="72"/>
  <c r="M5" i="72"/>
  <c r="V52" i="72"/>
  <c r="V32" i="72"/>
  <c r="V33" i="72"/>
  <c r="V34" i="72"/>
  <c r="V35" i="72"/>
  <c r="V36" i="72"/>
  <c r="V37" i="72"/>
  <c r="V38" i="72"/>
  <c r="V39" i="72"/>
  <c r="V40" i="72"/>
  <c r="V41" i="72"/>
  <c r="V42" i="72"/>
  <c r="V43" i="72"/>
  <c r="V44" i="72"/>
  <c r="V45" i="72"/>
  <c r="V46" i="72"/>
  <c r="V47" i="72"/>
  <c r="V48" i="72"/>
  <c r="V49" i="72"/>
  <c r="V50" i="72"/>
  <c r="V51" i="72"/>
  <c r="O30" i="72"/>
  <c r="O31" i="72"/>
  <c r="O32" i="72"/>
  <c r="O33" i="72"/>
  <c r="O34" i="72"/>
  <c r="O35" i="72"/>
  <c r="O36" i="72"/>
  <c r="O37" i="72"/>
  <c r="O38" i="72"/>
  <c r="O39" i="72"/>
  <c r="O40" i="72"/>
  <c r="O41" i="72"/>
  <c r="O42" i="72"/>
  <c r="O43" i="72"/>
  <c r="O44" i="72"/>
  <c r="O45" i="72"/>
  <c r="O46" i="72"/>
  <c r="O47" i="72"/>
  <c r="O48" i="72"/>
  <c r="O49" i="72"/>
  <c r="O50" i="72"/>
  <c r="O51" i="72"/>
  <c r="O52" i="72"/>
  <c r="U44" i="72"/>
  <c r="U45" i="72"/>
  <c r="U46" i="72"/>
  <c r="U47" i="72"/>
  <c r="U48" i="72"/>
  <c r="U49" i="72"/>
  <c r="U50" i="72"/>
  <c r="U51" i="72"/>
  <c r="U52" i="72"/>
  <c r="T38" i="72"/>
  <c r="T39" i="72"/>
  <c r="T40" i="72"/>
  <c r="T41" i="72"/>
  <c r="T42" i="72"/>
  <c r="T43" i="72"/>
  <c r="T44" i="72"/>
  <c r="T45" i="72"/>
  <c r="T46" i="72"/>
  <c r="T47" i="72"/>
  <c r="T48" i="72"/>
  <c r="T49" i="72"/>
  <c r="T50" i="72"/>
  <c r="T51" i="72"/>
  <c r="T52" i="72"/>
  <c r="S48" i="72"/>
  <c r="S49" i="72"/>
  <c r="S50" i="72"/>
  <c r="S51" i="72"/>
  <c r="S52" i="72"/>
  <c r="M52" i="72"/>
  <c r="N37" i="72"/>
  <c r="N38" i="72"/>
  <c r="N39" i="72"/>
  <c r="N40" i="72"/>
  <c r="N41" i="72"/>
  <c r="N42" i="72"/>
  <c r="N43" i="72"/>
  <c r="N44" i="72"/>
  <c r="N45" i="72"/>
  <c r="N46" i="72"/>
  <c r="N47" i="72"/>
  <c r="N48" i="72"/>
  <c r="N49" i="72"/>
  <c r="N50" i="72"/>
  <c r="N51" i="72"/>
  <c r="N52" i="72"/>
  <c r="L41" i="72"/>
  <c r="L42" i="72"/>
  <c r="L43" i="72"/>
  <c r="Q43" i="72" s="1"/>
  <c r="L44" i="72"/>
  <c r="L45" i="72"/>
  <c r="L46" i="72"/>
  <c r="L47" i="72"/>
  <c r="Q47" i="72" s="1"/>
  <c r="L48" i="72"/>
  <c r="L49" i="72"/>
  <c r="L50" i="72"/>
  <c r="L51" i="72"/>
  <c r="Q51" i="72" s="1"/>
  <c r="L52" i="72"/>
  <c r="Q52" i="72" s="1"/>
  <c r="M30" i="72"/>
  <c r="M31" i="72"/>
  <c r="M32" i="72"/>
  <c r="M33" i="72"/>
  <c r="M34" i="72"/>
  <c r="M35" i="72"/>
  <c r="M36" i="72"/>
  <c r="M37" i="72"/>
  <c r="M38" i="72"/>
  <c r="M39" i="72"/>
  <c r="M40" i="72"/>
  <c r="M41" i="72"/>
  <c r="M42" i="72"/>
  <c r="M43" i="72"/>
  <c r="M44" i="72"/>
  <c r="M45" i="72"/>
  <c r="M46" i="72"/>
  <c r="M47" i="72"/>
  <c r="M48" i="72"/>
  <c r="M49" i="72"/>
  <c r="M50" i="72"/>
  <c r="M51" i="72"/>
  <c r="V6" i="72"/>
  <c r="V7" i="72"/>
  <c r="V8" i="72"/>
  <c r="V9" i="72"/>
  <c r="V10" i="72"/>
  <c r="V11" i="72"/>
  <c r="V12" i="72"/>
  <c r="V13" i="72"/>
  <c r="V14" i="72"/>
  <c r="V15" i="72"/>
  <c r="V16" i="72"/>
  <c r="V17" i="72"/>
  <c r="V18" i="72"/>
  <c r="V19" i="72"/>
  <c r="V20" i="72"/>
  <c r="V21" i="72"/>
  <c r="V22" i="72"/>
  <c r="V23" i="72"/>
  <c r="V24" i="72"/>
  <c r="V25" i="72"/>
  <c r="V26" i="72"/>
  <c r="V27" i="72"/>
  <c r="V28" i="72"/>
  <c r="V29" i="72"/>
  <c r="V30" i="72"/>
  <c r="V31" i="72"/>
  <c r="V5" i="72"/>
  <c r="U6" i="72"/>
  <c r="U7" i="72"/>
  <c r="U8" i="72"/>
  <c r="U9" i="72"/>
  <c r="U10" i="72"/>
  <c r="U11" i="72"/>
  <c r="U12" i="72"/>
  <c r="U13" i="72"/>
  <c r="U14" i="72"/>
  <c r="U15" i="72"/>
  <c r="U16" i="72"/>
  <c r="U17" i="72"/>
  <c r="U18" i="72"/>
  <c r="U19" i="72"/>
  <c r="U20" i="72"/>
  <c r="U21" i="72"/>
  <c r="U22" i="72"/>
  <c r="U23" i="72"/>
  <c r="U24" i="72"/>
  <c r="U25" i="72"/>
  <c r="U26" i="72"/>
  <c r="U27" i="72"/>
  <c r="U28" i="72"/>
  <c r="U29" i="72"/>
  <c r="U30" i="72"/>
  <c r="U31" i="72"/>
  <c r="U32" i="72"/>
  <c r="U33" i="72"/>
  <c r="U34" i="72"/>
  <c r="U35" i="72"/>
  <c r="U36" i="72"/>
  <c r="U37" i="72"/>
  <c r="U38" i="72"/>
  <c r="U39" i="72"/>
  <c r="U40" i="72"/>
  <c r="U41" i="72"/>
  <c r="U42" i="72"/>
  <c r="U43" i="72"/>
  <c r="U5" i="72"/>
  <c r="T6" i="72"/>
  <c r="T7" i="72"/>
  <c r="T8" i="72"/>
  <c r="T9" i="72"/>
  <c r="T10" i="72"/>
  <c r="T11" i="72"/>
  <c r="T12" i="72"/>
  <c r="T13" i="72"/>
  <c r="T14" i="72"/>
  <c r="T15" i="72"/>
  <c r="T16" i="72"/>
  <c r="T17" i="72"/>
  <c r="T18" i="72"/>
  <c r="T19" i="72"/>
  <c r="T20" i="72"/>
  <c r="T21" i="72"/>
  <c r="T22" i="72"/>
  <c r="T23" i="72"/>
  <c r="T24" i="72"/>
  <c r="T25" i="72"/>
  <c r="T26" i="72"/>
  <c r="T27" i="72"/>
  <c r="T28" i="72"/>
  <c r="T29" i="72"/>
  <c r="T30" i="72"/>
  <c r="T31" i="72"/>
  <c r="T32" i="72"/>
  <c r="T33" i="72"/>
  <c r="T34" i="72"/>
  <c r="T35" i="72"/>
  <c r="T36" i="72"/>
  <c r="T37" i="72"/>
  <c r="T5" i="72"/>
  <c r="S27" i="72"/>
  <c r="S28" i="72"/>
  <c r="S29" i="72"/>
  <c r="S30" i="72"/>
  <c r="S31" i="72"/>
  <c r="S32" i="72"/>
  <c r="S33" i="72"/>
  <c r="S34" i="72"/>
  <c r="S35" i="72"/>
  <c r="S36" i="72"/>
  <c r="S37" i="72"/>
  <c r="S38" i="72"/>
  <c r="S39" i="72"/>
  <c r="S40" i="72"/>
  <c r="S41" i="72"/>
  <c r="S42" i="72"/>
  <c r="S43" i="72"/>
  <c r="S44" i="72"/>
  <c r="S45" i="72"/>
  <c r="S46" i="72"/>
  <c r="S47" i="72"/>
  <c r="S6" i="72"/>
  <c r="S7" i="72"/>
  <c r="S8" i="72"/>
  <c r="S9" i="72"/>
  <c r="S10" i="72"/>
  <c r="S11" i="72"/>
  <c r="S12" i="72"/>
  <c r="S13" i="72"/>
  <c r="S14" i="72"/>
  <c r="S15" i="72"/>
  <c r="S16" i="72"/>
  <c r="S17" i="72"/>
  <c r="S18" i="72"/>
  <c r="S19" i="72"/>
  <c r="S20" i="72"/>
  <c r="S21" i="72"/>
  <c r="S22" i="72"/>
  <c r="S23" i="72"/>
  <c r="S24" i="72"/>
  <c r="S25" i="72"/>
  <c r="S26" i="72"/>
  <c r="S5" i="72"/>
  <c r="O6" i="72"/>
  <c r="O7" i="72"/>
  <c r="O8" i="72"/>
  <c r="O9" i="72"/>
  <c r="O10" i="72"/>
  <c r="O11" i="72"/>
  <c r="O12" i="72"/>
  <c r="O13" i="72"/>
  <c r="O14" i="72"/>
  <c r="O15" i="72"/>
  <c r="O16" i="72"/>
  <c r="O17" i="72"/>
  <c r="O18" i="72"/>
  <c r="O19" i="72"/>
  <c r="O20" i="72"/>
  <c r="O21" i="72"/>
  <c r="O22" i="72"/>
  <c r="O23" i="72"/>
  <c r="O24" i="72"/>
  <c r="O25" i="72"/>
  <c r="O26" i="72"/>
  <c r="O27" i="72"/>
  <c r="O28" i="72"/>
  <c r="O29" i="72"/>
  <c r="N6" i="72"/>
  <c r="N7" i="72"/>
  <c r="N8" i="72"/>
  <c r="N9" i="72"/>
  <c r="N10" i="72"/>
  <c r="N11" i="72"/>
  <c r="N12" i="72"/>
  <c r="N13" i="72"/>
  <c r="N14" i="72"/>
  <c r="N15" i="72"/>
  <c r="N16" i="72"/>
  <c r="N17" i="72"/>
  <c r="N18" i="72"/>
  <c r="N19" i="72"/>
  <c r="N20" i="72"/>
  <c r="N21" i="72"/>
  <c r="N22" i="72"/>
  <c r="N23" i="72"/>
  <c r="N24" i="72"/>
  <c r="N25" i="72"/>
  <c r="N26" i="72"/>
  <c r="N27" i="72"/>
  <c r="N28" i="72"/>
  <c r="N29" i="72"/>
  <c r="N30" i="72"/>
  <c r="N31" i="72"/>
  <c r="N32" i="72"/>
  <c r="N33" i="72"/>
  <c r="N34" i="72"/>
  <c r="N35" i="72"/>
  <c r="N36" i="72"/>
  <c r="M6" i="72"/>
  <c r="M7" i="72"/>
  <c r="M8" i="72"/>
  <c r="M9" i="72"/>
  <c r="M10" i="72"/>
  <c r="M11" i="72"/>
  <c r="M12" i="72"/>
  <c r="M13" i="72"/>
  <c r="M14" i="72"/>
  <c r="M15" i="72"/>
  <c r="M16" i="72"/>
  <c r="M17" i="72"/>
  <c r="M18" i="72"/>
  <c r="M19" i="72"/>
  <c r="M20" i="72"/>
  <c r="M21" i="72"/>
  <c r="M22" i="72"/>
  <c r="M23" i="72"/>
  <c r="M24" i="72"/>
  <c r="M25" i="72"/>
  <c r="M26" i="72"/>
  <c r="M27" i="72"/>
  <c r="M28" i="72"/>
  <c r="M29" i="72"/>
  <c r="O5" i="72"/>
  <c r="N5" i="72"/>
  <c r="L23" i="72"/>
  <c r="Q23" i="72" s="1"/>
  <c r="L24" i="72"/>
  <c r="Q24" i="72" s="1"/>
  <c r="L25" i="72"/>
  <c r="L26" i="72"/>
  <c r="L27" i="72"/>
  <c r="Q27" i="72" s="1"/>
  <c r="L28" i="72"/>
  <c r="Q28" i="72" s="1"/>
  <c r="L29" i="72"/>
  <c r="L30" i="72"/>
  <c r="Q30" i="72" s="1"/>
  <c r="L31" i="72"/>
  <c r="Q31" i="72" s="1"/>
  <c r="L32" i="72"/>
  <c r="Q32" i="72" s="1"/>
  <c r="L33" i="72"/>
  <c r="L34" i="72"/>
  <c r="Q34" i="72" s="1"/>
  <c r="L35" i="72"/>
  <c r="Q35" i="72" s="1"/>
  <c r="L36" i="72"/>
  <c r="Q36" i="72" s="1"/>
  <c r="L37" i="72"/>
  <c r="L38" i="72"/>
  <c r="Q38" i="72" s="1"/>
  <c r="L39" i="72"/>
  <c r="L40" i="72"/>
  <c r="Q40" i="72" s="1"/>
  <c r="J5" i="72"/>
  <c r="M53" i="72" l="1"/>
  <c r="N53" i="72"/>
  <c r="T53" i="72"/>
  <c r="V53" i="72"/>
  <c r="L53" i="72"/>
  <c r="J6" i="72"/>
  <c r="J7" i="72" s="1"/>
  <c r="J8" i="72" s="1"/>
  <c r="O53" i="72"/>
  <c r="S53" i="72"/>
  <c r="U53" i="72"/>
  <c r="Q21" i="72"/>
  <c r="Q13" i="72"/>
  <c r="Q39" i="72"/>
  <c r="Q50" i="72"/>
  <c r="Q46" i="72"/>
  <c r="Q42" i="72"/>
  <c r="Q20" i="72"/>
  <c r="Q16" i="72"/>
  <c r="Q12" i="72"/>
  <c r="Q8" i="72"/>
  <c r="Q9" i="72"/>
  <c r="Q26" i="72"/>
  <c r="W24" i="72"/>
  <c r="W20" i="72"/>
  <c r="W16" i="72"/>
  <c r="W12" i="72"/>
  <c r="W8" i="72"/>
  <c r="Q49" i="72"/>
  <c r="Q45" i="72"/>
  <c r="Q41" i="72"/>
  <c r="Q5" i="72"/>
  <c r="Q19" i="72"/>
  <c r="Q15" i="72"/>
  <c r="Q11" i="72"/>
  <c r="Q7" i="72"/>
  <c r="Q17" i="72"/>
  <c r="Q37" i="72"/>
  <c r="Q33" i="72"/>
  <c r="Q29" i="72"/>
  <c r="Q25" i="72"/>
  <c r="Q48" i="72"/>
  <c r="Q44" i="72"/>
  <c r="Q22" i="72"/>
  <c r="Q18" i="72"/>
  <c r="Q14" i="72"/>
  <c r="Q10" i="72"/>
  <c r="Q6" i="72"/>
  <c r="P18" i="72"/>
  <c r="P31" i="72"/>
  <c r="P20" i="72"/>
  <c r="P27" i="72"/>
  <c r="W49" i="72"/>
  <c r="W32" i="72"/>
  <c r="P19" i="72"/>
  <c r="P15" i="72"/>
  <c r="P34" i="72"/>
  <c r="P30" i="72"/>
  <c r="W43" i="72"/>
  <c r="W39" i="72"/>
  <c r="W35" i="72"/>
  <c r="P46" i="72"/>
  <c r="P35" i="72"/>
  <c r="W42" i="72"/>
  <c r="P50" i="72"/>
  <c r="P42" i="72"/>
  <c r="P39" i="72"/>
  <c r="W46" i="72"/>
  <c r="W38" i="72"/>
  <c r="W34" i="72"/>
  <c r="W30" i="72"/>
  <c r="P38" i="72"/>
  <c r="P52" i="72"/>
  <c r="P29" i="72"/>
  <c r="P25" i="72"/>
  <c r="P23" i="72"/>
  <c r="W5" i="72"/>
  <c r="W23" i="72"/>
  <c r="W19" i="72"/>
  <c r="W15" i="72"/>
  <c r="W11" i="72"/>
  <c r="W7" i="72"/>
  <c r="W45" i="72"/>
  <c r="W37" i="72"/>
  <c r="W33" i="72"/>
  <c r="W29" i="72"/>
  <c r="P48" i="72"/>
  <c r="W50" i="72"/>
  <c r="P40" i="72"/>
  <c r="P28" i="72"/>
  <c r="P24" i="72"/>
  <c r="W40" i="72"/>
  <c r="P44" i="72"/>
  <c r="P51" i="72"/>
  <c r="P47" i="72"/>
  <c r="P43" i="72"/>
  <c r="P21" i="72"/>
  <c r="P17" i="72"/>
  <c r="P5" i="72"/>
  <c r="P26" i="72"/>
  <c r="P22" i="72"/>
  <c r="W25" i="72"/>
  <c r="W21" i="72"/>
  <c r="W17" i="72"/>
  <c r="W13" i="72"/>
  <c r="W9" i="72"/>
  <c r="P49" i="72"/>
  <c r="P45" i="72"/>
  <c r="P41" i="72"/>
  <c r="P37" i="72"/>
  <c r="W51" i="72"/>
  <c r="W47" i="72"/>
  <c r="W52" i="72"/>
  <c r="W28" i="72"/>
  <c r="W31" i="72"/>
  <c r="W27" i="72"/>
  <c r="P16" i="72"/>
  <c r="W26" i="72"/>
  <c r="W22" i="72"/>
  <c r="W18" i="72"/>
  <c r="W14" i="72"/>
  <c r="W10" i="72"/>
  <c r="W6" i="72"/>
  <c r="W48" i="72"/>
  <c r="W44" i="72"/>
  <c r="W36" i="72"/>
  <c r="W41" i="72"/>
  <c r="P33" i="72"/>
  <c r="P36" i="72"/>
  <c r="P32" i="72"/>
  <c r="P6" i="72"/>
  <c r="P7" i="72"/>
  <c r="W53" i="72" l="1"/>
  <c r="P8" i="72"/>
  <c r="J9" i="72"/>
  <c r="J10" i="72" l="1"/>
  <c r="P10" i="72" l="1"/>
  <c r="J11" i="72"/>
  <c r="P9" i="72"/>
  <c r="J12" i="72" l="1"/>
  <c r="J13" i="72" l="1"/>
  <c r="P11" i="72"/>
  <c r="P12" i="72" l="1"/>
  <c r="J14" i="72"/>
  <c r="J53" i="72" s="1"/>
  <c r="P13" i="72" l="1"/>
  <c r="P14" i="72" l="1"/>
  <c r="P53" i="72" s="1"/>
  <c r="M11" i="61" l="1"/>
  <c r="L11" i="61"/>
  <c r="V2" i="73" l="1"/>
  <c r="T2" i="73"/>
  <c r="H2" i="73"/>
  <c r="D2" i="73"/>
  <c r="B2" i="73"/>
  <c r="C2" i="73" s="1"/>
  <c r="S2" i="73"/>
  <c r="E2" i="73" l="1"/>
  <c r="N11" i="61" l="1"/>
  <c r="O11" i="61"/>
  <c r="G5" i="72" l="1"/>
  <c r="O12" i="61"/>
  <c r="N12" i="61"/>
  <c r="M12" i="61"/>
  <c r="O13" i="61" l="1"/>
  <c r="M13" i="61"/>
  <c r="N13" i="61"/>
  <c r="L12" i="61"/>
  <c r="M14" i="61" l="1"/>
  <c r="N14" i="61"/>
  <c r="O14" i="61"/>
  <c r="L13" i="61"/>
  <c r="N15" i="61" l="1"/>
  <c r="G6" i="72"/>
  <c r="O15" i="61"/>
  <c r="G7" i="72"/>
  <c r="M15" i="61"/>
  <c r="L14" i="61"/>
  <c r="M16" i="61" l="1"/>
  <c r="O16" i="61"/>
  <c r="N16" i="61"/>
  <c r="G8" i="72"/>
  <c r="L15" i="61"/>
  <c r="N17" i="61" l="1"/>
  <c r="M17" i="61"/>
  <c r="O17" i="61"/>
  <c r="L16" i="61"/>
  <c r="O18" i="61" l="1"/>
  <c r="N18" i="61"/>
  <c r="G9" i="72"/>
  <c r="G10" i="72"/>
  <c r="M18" i="61"/>
  <c r="L17" i="61"/>
  <c r="N19" i="61" l="1"/>
  <c r="G11" i="72"/>
  <c r="M19" i="61"/>
  <c r="O19" i="61"/>
  <c r="L18" i="61"/>
  <c r="O20" i="61" l="1"/>
  <c r="G12" i="72"/>
  <c r="M20" i="61"/>
  <c r="N20" i="61"/>
  <c r="L19" i="61"/>
  <c r="N21" i="61" l="1"/>
  <c r="G13" i="72"/>
  <c r="M21" i="61"/>
  <c r="O21" i="61"/>
  <c r="L20" i="61"/>
  <c r="O22" i="61" l="1"/>
  <c r="G14" i="72"/>
  <c r="M22" i="61"/>
  <c r="N22" i="61"/>
  <c r="L21" i="61"/>
  <c r="N23" i="61" l="1"/>
  <c r="G15" i="72"/>
  <c r="M23" i="61"/>
  <c r="O23" i="61"/>
  <c r="L22" i="61"/>
  <c r="L17" i="76" l="1"/>
  <c r="O24" i="61"/>
  <c r="G16" i="72"/>
  <c r="M24" i="61"/>
  <c r="N24" i="61"/>
  <c r="L23" i="61"/>
  <c r="L18" i="76" l="1"/>
  <c r="N25" i="61"/>
  <c r="G17" i="72"/>
  <c r="M25" i="61"/>
  <c r="O25" i="61"/>
  <c r="L24" i="61"/>
  <c r="L19" i="76" l="1"/>
  <c r="O26" i="61"/>
  <c r="G18" i="72"/>
  <c r="M26" i="61"/>
  <c r="N26" i="61"/>
  <c r="L25" i="61"/>
  <c r="L20" i="76" l="1"/>
  <c r="N27" i="61"/>
  <c r="G19" i="72"/>
  <c r="M27" i="61"/>
  <c r="O27" i="61"/>
  <c r="L26" i="61"/>
  <c r="L21" i="76" l="1"/>
  <c r="M28" i="61"/>
  <c r="O28" i="61"/>
  <c r="G20" i="72"/>
  <c r="N28" i="61"/>
  <c r="L27" i="61"/>
  <c r="L22" i="76" l="1"/>
  <c r="N29" i="61"/>
  <c r="O29" i="61"/>
  <c r="G21" i="72"/>
  <c r="M29" i="61"/>
  <c r="L28" i="61"/>
  <c r="L23" i="76" l="1"/>
  <c r="M30" i="61"/>
  <c r="O30" i="61"/>
  <c r="G22" i="72"/>
  <c r="N30" i="61"/>
  <c r="L29" i="61"/>
  <c r="L24" i="76" l="1"/>
  <c r="N31" i="61"/>
  <c r="O31" i="61"/>
  <c r="G23" i="72"/>
  <c r="M31" i="61"/>
  <c r="L30" i="61"/>
  <c r="L25" i="76" l="1"/>
  <c r="M32" i="61"/>
  <c r="O32" i="61"/>
  <c r="N32" i="61"/>
  <c r="G24" i="72"/>
  <c r="L31" i="61"/>
  <c r="L26" i="76" l="1"/>
  <c r="O33" i="61"/>
  <c r="G25" i="72"/>
  <c r="N33" i="61"/>
  <c r="M33" i="61"/>
  <c r="L32" i="61"/>
  <c r="L27" i="76" l="1"/>
  <c r="M34" i="61"/>
  <c r="G26" i="72"/>
  <c r="N34" i="61"/>
  <c r="O34" i="61"/>
  <c r="L33" i="61"/>
  <c r="L28" i="76" l="1"/>
  <c r="O35" i="61"/>
  <c r="G27" i="72"/>
  <c r="N35" i="61"/>
  <c r="M35" i="61"/>
  <c r="L34" i="61"/>
  <c r="L29" i="76" l="1"/>
  <c r="M36" i="61"/>
  <c r="O36" i="61"/>
  <c r="G28" i="72"/>
  <c r="N36" i="61"/>
  <c r="L35" i="61"/>
  <c r="L30" i="76" l="1"/>
  <c r="N37" i="61"/>
  <c r="O37" i="61"/>
  <c r="M37" i="61"/>
  <c r="G29" i="72"/>
  <c r="L36" i="61"/>
  <c r="L31" i="76" l="1"/>
  <c r="G30" i="72"/>
  <c r="O38" i="61"/>
  <c r="M38" i="61"/>
  <c r="N38" i="61"/>
  <c r="L37" i="61"/>
  <c r="L32" i="76" l="1"/>
  <c r="N39" i="61"/>
  <c r="O39" i="61"/>
  <c r="G31" i="72"/>
  <c r="M39" i="61"/>
  <c r="L38" i="61"/>
  <c r="L34" i="76" l="1"/>
  <c r="L33" i="76"/>
  <c r="M40" i="61"/>
  <c r="O40" i="61"/>
  <c r="G32" i="72"/>
  <c r="N40" i="61"/>
  <c r="L39" i="61"/>
  <c r="N41" i="61" l="1"/>
  <c r="O41" i="61"/>
  <c r="G33" i="72"/>
  <c r="M41" i="61"/>
  <c r="L40" i="61"/>
  <c r="L35" i="76" l="1"/>
  <c r="G34" i="72"/>
  <c r="M42" i="61"/>
  <c r="O42" i="61"/>
  <c r="N42" i="61"/>
  <c r="L41" i="61"/>
  <c r="L36" i="76" l="1"/>
  <c r="M43" i="61"/>
  <c r="N43" i="61"/>
  <c r="G35" i="72"/>
  <c r="O43" i="61"/>
  <c r="L42" i="61"/>
  <c r="L37" i="76" l="1"/>
  <c r="G36" i="72"/>
  <c r="O44" i="61"/>
  <c r="N44" i="61"/>
  <c r="M44" i="61"/>
  <c r="L43" i="61"/>
  <c r="L38" i="76" l="1"/>
  <c r="G37" i="72"/>
  <c r="N45" i="61"/>
  <c r="M45" i="61"/>
  <c r="O45" i="61"/>
  <c r="L44" i="61"/>
  <c r="L39" i="76" l="1"/>
  <c r="N46" i="61"/>
  <c r="G38" i="72"/>
  <c r="M46" i="61"/>
  <c r="O46" i="61"/>
  <c r="L45" i="61"/>
  <c r="L40" i="76" l="1"/>
  <c r="O47" i="61"/>
  <c r="G39" i="72"/>
  <c r="M47" i="61"/>
  <c r="N47" i="61"/>
  <c r="L46" i="61"/>
  <c r="L41" i="76" l="1"/>
  <c r="G40" i="72"/>
  <c r="M48" i="61"/>
  <c r="N48" i="61"/>
  <c r="O48" i="61"/>
  <c r="L47" i="61"/>
  <c r="L42" i="76" l="1"/>
  <c r="O49" i="61"/>
  <c r="G41" i="72"/>
  <c r="N49" i="61"/>
  <c r="M49" i="61"/>
  <c r="L48" i="61"/>
  <c r="L43" i="76" l="1"/>
  <c r="M50" i="61"/>
  <c r="G42" i="72"/>
  <c r="N50" i="61"/>
  <c r="O50" i="61"/>
  <c r="L49" i="61"/>
  <c r="L44" i="76" l="1"/>
  <c r="O51" i="61"/>
  <c r="G43" i="72"/>
  <c r="N51" i="61"/>
  <c r="M51" i="61"/>
  <c r="L50" i="61"/>
  <c r="L45" i="76" l="1"/>
  <c r="M52" i="61"/>
  <c r="G44" i="72"/>
  <c r="N52" i="61"/>
  <c r="O52" i="61"/>
  <c r="L51" i="61"/>
  <c r="L46" i="76" l="1"/>
  <c r="O53" i="61"/>
  <c r="G45" i="72"/>
  <c r="N53" i="61"/>
  <c r="M53" i="61"/>
  <c r="L52" i="61"/>
  <c r="L48" i="76" l="1"/>
  <c r="L47" i="76"/>
  <c r="G46" i="72"/>
  <c r="N54" i="61"/>
  <c r="M54" i="61"/>
  <c r="O54" i="61"/>
  <c r="L53" i="61"/>
  <c r="O55" i="61" l="1"/>
  <c r="N55" i="61"/>
  <c r="G47" i="72"/>
  <c r="M55" i="61"/>
  <c r="L54" i="61"/>
  <c r="L49" i="76" l="1"/>
  <c r="N56" i="61"/>
  <c r="M56" i="61"/>
  <c r="L50" i="76"/>
  <c r="G48" i="72"/>
  <c r="O56" i="61"/>
  <c r="L55" i="61"/>
  <c r="O57" i="61" l="1"/>
  <c r="M57" i="61"/>
  <c r="G49" i="72"/>
  <c r="N57" i="61"/>
  <c r="L56" i="61"/>
  <c r="L51" i="76" l="1"/>
  <c r="M58" i="61"/>
  <c r="D53" i="72" s="1"/>
  <c r="N58" i="61"/>
  <c r="G50" i="72"/>
  <c r="O58" i="61"/>
  <c r="L57" i="61"/>
  <c r="E53" i="72" l="1"/>
  <c r="L52" i="76"/>
  <c r="G51" i="72"/>
  <c r="L58" i="61"/>
  <c r="L53" i="76" l="1"/>
  <c r="L54" i="76" l="1"/>
  <c r="C53" i="72"/>
  <c r="G52" i="72"/>
  <c r="G53" i="72" s="1"/>
</calcChain>
</file>

<file path=xl/sharedStrings.xml><?xml version="1.0" encoding="utf-8"?>
<sst xmlns="http://schemas.openxmlformats.org/spreadsheetml/2006/main" count="135" uniqueCount="66">
  <si>
    <t>Week</t>
  </si>
  <si>
    <t>Calculations / Consolidation</t>
  </si>
  <si>
    <t>Actual Week</t>
  </si>
  <si>
    <t>User 1</t>
  </si>
  <si>
    <t>User 2</t>
  </si>
  <si>
    <t>User 3</t>
  </si>
  <si>
    <t>User 4</t>
  </si>
  <si>
    <t>U1</t>
  </si>
  <si>
    <t>U2</t>
  </si>
  <si>
    <t>U3</t>
  </si>
  <si>
    <t>U4</t>
  </si>
  <si>
    <t>Time to answer</t>
  </si>
  <si>
    <t>AVG</t>
  </si>
  <si>
    <t>Abandon rate (%)</t>
  </si>
  <si>
    <t>FCR</t>
  </si>
  <si>
    <t>RAW DATA</t>
  </si>
  <si>
    <t>RAW USER DATA</t>
  </si>
  <si>
    <t>Gauge Chart Name:</t>
  </si>
  <si>
    <t>AV</t>
  </si>
  <si>
    <t>min</t>
  </si>
  <si>
    <t>max</t>
  </si>
  <si>
    <t>diff</t>
  </si>
  <si>
    <t>Format</t>
  </si>
  <si>
    <t>Decimals</t>
  </si>
  <si>
    <t>Labels size</t>
  </si>
  <si>
    <t>AV size</t>
  </si>
  <si>
    <t>ref 5</t>
  </si>
  <si>
    <t>ref 6</t>
  </si>
  <si>
    <t>color 1</t>
  </si>
  <si>
    <t>color 2</t>
  </si>
  <si>
    <t>color 3</t>
  </si>
  <si>
    <t>Skin</t>
  </si>
  <si>
    <t>Sheet Name</t>
  </si>
  <si>
    <t>Sheet Index</t>
  </si>
  <si>
    <t>Attached</t>
  </si>
  <si>
    <t>Reference</t>
  </si>
  <si>
    <t>Variance Chart Name:</t>
  </si>
  <si>
    <t>Data 1</t>
  </si>
  <si>
    <t>Data 2</t>
  </si>
  <si>
    <t>Diff</t>
  </si>
  <si>
    <t>Series 1</t>
  </si>
  <si>
    <t>Series 2</t>
  </si>
  <si>
    <t>Sales Funnel Chart Name:</t>
  </si>
  <si>
    <t>GC_egy</t>
  </si>
  <si>
    <t>Num</t>
  </si>
  <si>
    <t>Skin 1</t>
  </si>
  <si>
    <t>time to answer</t>
  </si>
  <si>
    <t>abandon rate</t>
  </si>
  <si>
    <t>fcr</t>
  </si>
  <si>
    <t>u1</t>
  </si>
  <si>
    <t>abomdant</t>
  </si>
  <si>
    <t>u2</t>
  </si>
  <si>
    <t>u3</t>
  </si>
  <si>
    <t>u4</t>
  </si>
  <si>
    <t>abandon time</t>
  </si>
  <si>
    <t>user1</t>
  </si>
  <si>
    <t>user2</t>
  </si>
  <si>
    <t>user3</t>
  </si>
  <si>
    <t>user4</t>
  </si>
  <si>
    <t xml:space="preserve">     MAX  ANSWER TIME -</t>
  </si>
  <si>
    <t xml:space="preserve">     MIN ANSWER TIME-</t>
  </si>
  <si>
    <t xml:space="preserve">     MAX  ABANDON RATE-</t>
  </si>
  <si>
    <t xml:space="preserve">     MIN ABANDON RATE-</t>
  </si>
  <si>
    <t xml:space="preserve">     MAX FCR   -</t>
  </si>
  <si>
    <t xml:space="preserve">     MIN FCR -</t>
  </si>
  <si>
    <t>fcr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</si>
</sst>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d\,\ dd/mm/yy"/>
    <numFmt numFmtId="165" formatCode="&quot;W&quot;\ 00"/>
  </numFmts>
  <fonts count="23" x14ac:knownFonts="1">
    <font>
      <sz val="10"/>
      <name val="Arial"/>
    </font>
    <font>
      <sz val="8"/>
      <name val="Calibri"/>
      <family val="2"/>
    </font>
    <font>
      <sz val="10"/>
      <color indexed="8"/>
      <name val="Segoe UI"/>
      <family val="2"/>
      <charset val="238"/>
    </font>
    <font>
      <b/>
      <sz val="12"/>
      <color indexed="8"/>
      <name val="Segoe UI"/>
      <family val="2"/>
      <charset val="238"/>
    </font>
    <font>
      <b/>
      <sz val="10"/>
      <color indexed="8"/>
      <name val="Segoe UI"/>
      <family val="2"/>
      <charset val="238"/>
    </font>
    <font>
      <sz val="10"/>
      <name val="Segoe UI"/>
      <family val="2"/>
      <charset val="238"/>
    </font>
    <font>
      <sz val="10"/>
      <name val="Arial"/>
      <family val="2"/>
      <charset val="238"/>
    </font>
    <font>
      <b/>
      <sz val="10"/>
      <name val="Segoe UI"/>
      <family val="2"/>
      <charset val="238"/>
    </font>
    <font>
      <b/>
      <i/>
      <sz val="14"/>
      <name val="Segoe UI"/>
      <family val="2"/>
      <charset val="238"/>
    </font>
    <font>
      <b/>
      <i/>
      <sz val="10"/>
      <name val="Segoe U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b/>
      <sz val="10"/>
      <name val="Arial"/>
      <family val="2"/>
      <charset val="238"/>
    </font>
    <font>
      <sz val="10"/>
      <name val="Arial"/>
      <family val="2"/>
    </font>
    <font>
      <sz val="8"/>
      <name val="Arial"/>
      <family val="2"/>
    </font>
    <font>
      <sz val="10"/>
      <color rgb="FFFFFFCC"/>
      <name val="Arial"/>
      <family val="2"/>
    </font>
    <font>
      <sz val="10"/>
      <color theme="7" tint="-0.499984740745262"/>
      <name val="Arial"/>
      <family val="2"/>
    </font>
    <font>
      <sz val="10"/>
      <name val="Bodoni MT Black"/>
      <family val="1"/>
    </font>
    <font>
      <sz val="10"/>
      <color rgb="FFFFFF99"/>
      <name val="Bodoni MT Black"/>
      <family val="1"/>
    </font>
    <font>
      <sz val="10"/>
      <color theme="5" tint="0.79998168889431442"/>
      <name val="Arial"/>
      <family val="2"/>
    </font>
    <font>
      <sz val="10"/>
      <color theme="5" tint="0.79998168889431442"/>
      <name val="Arial Black"/>
      <family val="2"/>
    </font>
    <font>
      <sz val="12"/>
      <color theme="5" tint="0.79998168889431442"/>
      <name val="Arial"/>
      <family val="2"/>
    </font>
    <font>
      <sz val="12"/>
      <color theme="9" tint="0.79998168889431442"/>
      <name val="Berlin Sans FB Demi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7030A0"/>
      </left>
      <right/>
      <top style="medium">
        <color rgb="FF7030A0"/>
      </top>
      <bottom/>
      <diagonal/>
    </border>
    <border>
      <left/>
      <right/>
      <top style="medium">
        <color rgb="FF7030A0"/>
      </top>
      <bottom/>
      <diagonal/>
    </border>
    <border>
      <left/>
      <right style="medium">
        <color rgb="FF7030A0"/>
      </right>
      <top style="medium">
        <color rgb="FF7030A0"/>
      </top>
      <bottom/>
      <diagonal/>
    </border>
    <border>
      <left style="medium">
        <color rgb="FF7030A0"/>
      </left>
      <right/>
      <top/>
      <bottom/>
      <diagonal/>
    </border>
    <border>
      <left/>
      <right style="medium">
        <color rgb="FF7030A0"/>
      </right>
      <top/>
      <bottom/>
      <diagonal/>
    </border>
    <border>
      <left style="medium">
        <color rgb="FF7030A0"/>
      </left>
      <right/>
      <top/>
      <bottom style="medium">
        <color rgb="FF7030A0"/>
      </bottom>
      <diagonal/>
    </border>
    <border>
      <left/>
      <right/>
      <top/>
      <bottom style="medium">
        <color rgb="FF7030A0"/>
      </bottom>
      <diagonal/>
    </border>
    <border>
      <left/>
      <right style="medium">
        <color rgb="FF7030A0"/>
      </right>
      <top/>
      <bottom style="medium">
        <color rgb="FF7030A0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84">
    <xf numFmtId="0" fontId="0" fillId="0" borderId="0" xfId="0"/>
    <xf numFmtId="0" fontId="2" fillId="0" borderId="0" xfId="0" applyFont="1" applyFill="1" applyAlignment="1" applyProtection="1">
      <alignment vertical="center"/>
      <protection hidden="1"/>
    </xf>
    <xf numFmtId="0" fontId="4" fillId="0" borderId="0" xfId="0" applyFont="1" applyFill="1" applyBorder="1" applyAlignment="1" applyProtection="1">
      <alignment horizontal="left" vertical="center" wrapText="1" indent="2"/>
      <protection hidden="1"/>
    </xf>
    <xf numFmtId="0" fontId="4" fillId="0" borderId="6" xfId="0" applyFont="1" applyFill="1" applyBorder="1" applyAlignment="1" applyProtection="1">
      <alignment horizontal="left" vertical="center" indent="1"/>
      <protection hidden="1"/>
    </xf>
    <xf numFmtId="0" fontId="2" fillId="0" borderId="6" xfId="0" applyFont="1" applyFill="1" applyBorder="1" applyAlignment="1" applyProtection="1">
      <alignment vertical="center"/>
      <protection hidden="1"/>
    </xf>
    <xf numFmtId="0" fontId="2" fillId="0" borderId="3" xfId="0" applyFont="1" applyFill="1" applyBorder="1" applyAlignment="1" applyProtection="1">
      <alignment horizontal="center" vertical="center"/>
      <protection hidden="1"/>
    </xf>
    <xf numFmtId="165" fontId="2" fillId="0" borderId="4" xfId="0" applyNumberFormat="1" applyFont="1" applyFill="1" applyBorder="1" applyAlignment="1" applyProtection="1">
      <alignment horizontal="center" vertical="center"/>
      <protection hidden="1"/>
    </xf>
    <xf numFmtId="0" fontId="5" fillId="0" borderId="0" xfId="0" applyFont="1"/>
    <xf numFmtId="0" fontId="2" fillId="0" borderId="5" xfId="0" applyFont="1" applyBorder="1" applyAlignment="1" applyProtection="1">
      <alignment horizontal="center" vertical="center" wrapText="1"/>
      <protection hidden="1"/>
    </xf>
    <xf numFmtId="3" fontId="2" fillId="0" borderId="0" xfId="0" applyNumberFormat="1" applyFont="1" applyFill="1" applyAlignment="1" applyProtection="1">
      <alignment vertical="center"/>
      <protection hidden="1"/>
    </xf>
    <xf numFmtId="164" fontId="2" fillId="0" borderId="8" xfId="0" applyNumberFormat="1" applyFont="1" applyFill="1" applyBorder="1" applyAlignment="1" applyProtection="1">
      <alignment horizontal="center" vertical="center"/>
      <protection hidden="1"/>
    </xf>
    <xf numFmtId="165" fontId="2" fillId="0" borderId="9" xfId="0" applyNumberFormat="1" applyFont="1" applyFill="1" applyBorder="1" applyAlignment="1" applyProtection="1">
      <alignment horizontal="center" vertical="center"/>
      <protection hidden="1"/>
    </xf>
    <xf numFmtId="3" fontId="2" fillId="0" borderId="9" xfId="0" applyNumberFormat="1" applyFont="1" applyFill="1" applyBorder="1" applyAlignment="1" applyProtection="1">
      <alignment vertical="center"/>
      <protection hidden="1"/>
    </xf>
    <xf numFmtId="164" fontId="2" fillId="0" borderId="10" xfId="0" applyNumberFormat="1" applyFont="1" applyFill="1" applyBorder="1" applyAlignment="1" applyProtection="1">
      <alignment horizontal="center" vertical="center"/>
      <protection hidden="1"/>
    </xf>
    <xf numFmtId="164" fontId="2" fillId="0" borderId="11" xfId="0" applyNumberFormat="1" applyFont="1" applyFill="1" applyBorder="1" applyAlignment="1" applyProtection="1">
      <alignment horizontal="center" vertical="center"/>
      <protection hidden="1"/>
    </xf>
    <xf numFmtId="165" fontId="2" fillId="0" borderId="12" xfId="0" applyNumberFormat="1" applyFont="1" applyFill="1" applyBorder="1" applyAlignment="1" applyProtection="1">
      <alignment horizontal="center" vertical="center"/>
      <protection hidden="1"/>
    </xf>
    <xf numFmtId="10" fontId="2" fillId="0" borderId="0" xfId="1" applyNumberFormat="1" applyFont="1" applyFill="1" applyAlignment="1" applyProtection="1">
      <alignment vertical="center"/>
      <protection hidden="1"/>
    </xf>
    <xf numFmtId="165" fontId="2" fillId="0" borderId="0" xfId="0" applyNumberFormat="1" applyFont="1" applyFill="1" applyAlignment="1" applyProtection="1">
      <alignment vertical="center"/>
      <protection hidden="1"/>
    </xf>
    <xf numFmtId="0" fontId="4" fillId="0" borderId="0" xfId="0" applyFont="1" applyFill="1" applyAlignment="1" applyProtection="1">
      <alignment vertical="center"/>
      <protection hidden="1"/>
    </xf>
    <xf numFmtId="0" fontId="2" fillId="0" borderId="0" xfId="0" applyFont="1" applyBorder="1" applyAlignment="1" applyProtection="1">
      <alignment horizontal="center" vertical="center" wrapText="1"/>
      <protection hidden="1"/>
    </xf>
    <xf numFmtId="0" fontId="2" fillId="0" borderId="3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Fill="1" applyAlignment="1" applyProtection="1">
      <alignment vertical="center"/>
      <protection hidden="1"/>
    </xf>
    <xf numFmtId="0" fontId="7" fillId="0" borderId="0" xfId="0" applyFont="1"/>
    <xf numFmtId="10" fontId="5" fillId="0" borderId="0" xfId="0" applyNumberFormat="1" applyFont="1"/>
    <xf numFmtId="10" fontId="2" fillId="0" borderId="0" xfId="0" applyNumberFormat="1" applyFont="1" applyFill="1" applyAlignment="1" applyProtection="1">
      <alignment vertical="center"/>
      <protection hidden="1"/>
    </xf>
    <xf numFmtId="0" fontId="4" fillId="0" borderId="7" xfId="0" applyFont="1" applyFill="1" applyBorder="1" applyAlignment="1" applyProtection="1">
      <alignment horizontal="left" vertical="center" wrapText="1" indent="2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3" fillId="0" borderId="0" xfId="0" applyFont="1" applyFill="1" applyBorder="1" applyAlignment="1" applyProtection="1">
      <alignment horizontal="left" vertical="center" inden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9" fillId="0" borderId="0" xfId="0" applyFont="1"/>
    <xf numFmtId="0" fontId="2" fillId="0" borderId="0" xfId="0" applyFont="1" applyBorder="1" applyAlignment="1" applyProtection="1">
      <alignment horizontal="left" vertical="center" indent="1"/>
      <protection hidden="1"/>
    </xf>
    <xf numFmtId="165" fontId="2" fillId="0" borderId="0" xfId="0" applyNumberFormat="1" applyFont="1" applyBorder="1" applyAlignment="1" applyProtection="1">
      <alignment horizontal="right" vertical="center"/>
      <protection hidden="1"/>
    </xf>
    <xf numFmtId="0" fontId="2" fillId="0" borderId="0" xfId="0" applyFont="1" applyFill="1" applyBorder="1" applyAlignment="1" applyProtection="1">
      <alignment horizontal="left" vertical="center" wrapText="1" indent="2"/>
      <protection hidden="1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9" fontId="5" fillId="0" borderId="0" xfId="1" applyNumberFormat="1" applyFont="1"/>
    <xf numFmtId="9" fontId="5" fillId="0" borderId="0" xfId="0" applyNumberFormat="1" applyFont="1" applyAlignment="1">
      <alignment horizontal="left"/>
    </xf>
    <xf numFmtId="0" fontId="0" fillId="5" borderId="0" xfId="0" applyFill="1"/>
    <xf numFmtId="0" fontId="0" fillId="6" borderId="0" xfId="0" applyFill="1"/>
    <xf numFmtId="0" fontId="13" fillId="0" borderId="0" xfId="0" applyFont="1"/>
    <xf numFmtId="10" fontId="0" fillId="0" borderId="0" xfId="0" applyNumberFormat="1"/>
    <xf numFmtId="9" fontId="0" fillId="0" borderId="0" xfId="1" applyFont="1"/>
    <xf numFmtId="10" fontId="0" fillId="0" borderId="0" xfId="1" applyNumberFormat="1" applyFont="1"/>
    <xf numFmtId="0" fontId="13" fillId="7" borderId="3" xfId="0" applyFont="1" applyFill="1" applyBorder="1"/>
    <xf numFmtId="0" fontId="0" fillId="7" borderId="3" xfId="0" applyFill="1" applyBorder="1"/>
    <xf numFmtId="0" fontId="0" fillId="8" borderId="3" xfId="0" applyFill="1" applyBorder="1"/>
    <xf numFmtId="10" fontId="0" fillId="8" borderId="3" xfId="1" applyNumberFormat="1" applyFont="1" applyFill="1" applyBorder="1"/>
    <xf numFmtId="0" fontId="0" fillId="9" borderId="0" xfId="0" applyFill="1"/>
    <xf numFmtId="0" fontId="0" fillId="9" borderId="3" xfId="0" applyFill="1" applyBorder="1"/>
    <xf numFmtId="0" fontId="13" fillId="9" borderId="3" xfId="0" applyFont="1" applyFill="1" applyBorder="1"/>
    <xf numFmtId="0" fontId="15" fillId="5" borderId="0" xfId="0" applyFont="1" applyFill="1"/>
    <xf numFmtId="0" fontId="13" fillId="5" borderId="0" xfId="0" applyFont="1" applyFill="1"/>
    <xf numFmtId="10" fontId="0" fillId="5" borderId="0" xfId="0" applyNumberFormat="1" applyFill="1"/>
    <xf numFmtId="0" fontId="13" fillId="5" borderId="0" xfId="0" applyFont="1" applyFill="1" applyBorder="1"/>
    <xf numFmtId="0" fontId="16" fillId="5" borderId="0" xfId="0" applyFont="1" applyFill="1"/>
    <xf numFmtId="0" fontId="0" fillId="10" borderId="17" xfId="0" applyFill="1" applyBorder="1"/>
    <xf numFmtId="0" fontId="17" fillId="10" borderId="18" xfId="0" applyFont="1" applyFill="1" applyBorder="1"/>
    <xf numFmtId="0" fontId="0" fillId="10" borderId="19" xfId="0" applyFill="1" applyBorder="1"/>
    <xf numFmtId="0" fontId="0" fillId="10" borderId="20" xfId="0" applyFill="1" applyBorder="1"/>
    <xf numFmtId="0" fontId="0" fillId="10" borderId="22" xfId="0" applyFill="1" applyBorder="1"/>
    <xf numFmtId="0" fontId="18" fillId="10" borderId="0" xfId="0" applyFont="1" applyFill="1" applyBorder="1"/>
    <xf numFmtId="0" fontId="18" fillId="10" borderId="23" xfId="0" applyFont="1" applyFill="1" applyBorder="1"/>
    <xf numFmtId="0" fontId="19" fillId="10" borderId="18" xfId="0" applyFont="1" applyFill="1" applyBorder="1"/>
    <xf numFmtId="0" fontId="20" fillId="10" borderId="0" xfId="0" applyFont="1" applyFill="1" applyBorder="1"/>
    <xf numFmtId="0" fontId="20" fillId="10" borderId="0" xfId="1" applyNumberFormat="1" applyFont="1" applyFill="1" applyBorder="1"/>
    <xf numFmtId="10" fontId="20" fillId="10" borderId="0" xfId="0" applyNumberFormat="1" applyFont="1" applyFill="1" applyBorder="1"/>
    <xf numFmtId="10" fontId="20" fillId="10" borderId="23" xfId="0" applyNumberFormat="1" applyFont="1" applyFill="1" applyBorder="1"/>
    <xf numFmtId="0" fontId="21" fillId="10" borderId="0" xfId="0" applyFont="1" applyFill="1" applyBorder="1"/>
    <xf numFmtId="10" fontId="22" fillId="10" borderId="21" xfId="0" applyNumberFormat="1" applyFont="1" applyFill="1" applyBorder="1"/>
    <xf numFmtId="0" fontId="21" fillId="10" borderId="23" xfId="0" applyFont="1" applyFill="1" applyBorder="1"/>
    <xf numFmtId="10" fontId="22" fillId="10" borderId="24" xfId="0" applyNumberFormat="1" applyFont="1" applyFill="1" applyBorder="1"/>
    <xf numFmtId="0" fontId="8" fillId="4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4" fillId="0" borderId="13" xfId="0" applyFont="1" applyFill="1" applyBorder="1" applyAlignment="1" applyProtection="1">
      <alignment horizontal="center" vertical="center"/>
      <protection hidden="1"/>
    </xf>
    <xf numFmtId="0" fontId="4" fillId="0" borderId="14" xfId="0" applyFont="1" applyFill="1" applyBorder="1" applyAlignment="1" applyProtection="1">
      <alignment horizontal="center" vertical="center"/>
      <protection hidden="1"/>
    </xf>
    <xf numFmtId="0" fontId="4" fillId="0" borderId="15" xfId="0" applyFont="1" applyFill="1" applyBorder="1" applyAlignment="1" applyProtection="1">
      <alignment horizontal="center" vertical="center"/>
      <protection hidden="1"/>
    </xf>
    <xf numFmtId="0" fontId="4" fillId="0" borderId="1" xfId="0" applyFont="1" applyFill="1" applyBorder="1" applyAlignment="1" applyProtection="1">
      <alignment horizontal="center" vertical="center"/>
      <protection hidden="1"/>
    </xf>
    <xf numFmtId="0" fontId="4" fillId="0" borderId="2" xfId="0" applyFont="1" applyFill="1" applyBorder="1" applyAlignment="1" applyProtection="1">
      <alignment horizontal="center" vertical="center"/>
      <protection hidden="1"/>
    </xf>
    <xf numFmtId="0" fontId="4" fillId="0" borderId="16" xfId="0" applyFont="1" applyFill="1" applyBorder="1" applyAlignment="1" applyProtection="1">
      <alignment horizontal="center" vertical="center"/>
      <protection hidden="1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414749"/>
      <rgbColor rgb="00008000"/>
      <rgbColor rgb="00CBCCCD"/>
      <rgbColor rgb="00808000"/>
      <rgbColor rgb="00800080"/>
      <rgbColor rgb="00008080"/>
      <rgbColor rgb="00C0C0C0"/>
      <rgbColor rgb="00808080"/>
      <rgbColor rgb="00FFCC00"/>
      <rgbColor rgb="00414B52"/>
      <rgbColor rgb="009D272A"/>
      <rgbColor rgb="00CBCCCD"/>
      <rgbColor rgb="0096999A"/>
      <rgbColor rgb="006B7072"/>
      <rgbColor rgb="00414749"/>
      <rgbColor rgb="00E2001A"/>
      <rgbColor rgb="00FFCC00"/>
      <rgbColor rgb="00414B52"/>
      <rgbColor rgb="009D272A"/>
      <rgbColor rgb="00CBCCCD"/>
      <rgbColor rgb="0096999A"/>
      <rgbColor rgb="006B7072"/>
      <rgbColor rgb="00008080"/>
      <rgbColor rgb="000000FF"/>
      <rgbColor rgb="0000CCFF"/>
      <rgbColor rgb="00CCFFFF"/>
      <rgbColor rgb="00CCFFCC"/>
      <rgbColor rgb="00FFFF99"/>
      <rgbColor rgb="0099CCFF"/>
      <rgbColor rgb="00DDDDD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C10330"/>
      <rgbColor rgb="00339966"/>
      <rgbColor rgb="00E2001A"/>
      <rgbColor rgb="00414B52"/>
      <rgbColor rgb="00FFCC00"/>
      <rgbColor rgb="00993366"/>
      <rgbColor rgb="0096999A"/>
      <rgbColor rgb="006B7072"/>
    </indexedColors>
    <mruColors>
      <color rgb="FFFFFF99"/>
      <color rgb="FFFFFFCC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time</a:t>
            </a:r>
            <a:r>
              <a:rPr lang="en-IN" baseline="0"/>
              <a:t> to answer</a:t>
            </a:r>
          </a:p>
          <a:p>
            <a:pPr>
              <a:defRPr/>
            </a:pPr>
            <a:endParaRPr lang="en-IN"/>
          </a:p>
        </c:rich>
      </c:tx>
      <c:layout>
        <c:manualLayout>
          <c:xMode val="edge"/>
          <c:yMode val="edge"/>
          <c:x val="0.31859711286089237"/>
          <c:y val="0"/>
        </c:manualLayout>
      </c:layout>
      <c:overlay val="0"/>
      <c:spPr>
        <a:solidFill>
          <a:srgbClr val="FFFF99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rgbClr val="0070C0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>
              <a:innerShdw blurRad="63500" dist="50800" dir="18900000">
                <a:srgbClr val="FFFF00">
                  <a:alpha val="38000"/>
                </a:srgbClr>
              </a:innerShdw>
            </a:effectLst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val>
            <c:numRef>
              <c:f>Sheet3!$L$7:$L$54</c:f>
              <c:numCache>
                <c:formatCode>General</c:formatCode>
                <c:ptCount val="48"/>
                <c:pt idx="0">
                  <c:v>118</c:v>
                </c:pt>
                <c:pt idx="1">
                  <c:v>129</c:v>
                </c:pt>
                <c:pt idx="2">
                  <c:v>167</c:v>
                </c:pt>
                <c:pt idx="3">
                  <c:v>130</c:v>
                </c:pt>
                <c:pt idx="4">
                  <c:v>145</c:v>
                </c:pt>
                <c:pt idx="5">
                  <c:v>107</c:v>
                </c:pt>
                <c:pt idx="6">
                  <c:v>69</c:v>
                </c:pt>
                <c:pt idx="7">
                  <c:v>163</c:v>
                </c:pt>
                <c:pt idx="8">
                  <c:v>86</c:v>
                </c:pt>
                <c:pt idx="9">
                  <c:v>115</c:v>
                </c:pt>
                <c:pt idx="10">
                  <c:v>124</c:v>
                </c:pt>
                <c:pt idx="11">
                  <c:v>144</c:v>
                </c:pt>
                <c:pt idx="12">
                  <c:v>110</c:v>
                </c:pt>
                <c:pt idx="13">
                  <c:v>141</c:v>
                </c:pt>
                <c:pt idx="14">
                  <c:v>91</c:v>
                </c:pt>
                <c:pt idx="15">
                  <c:v>83</c:v>
                </c:pt>
                <c:pt idx="16">
                  <c:v>91</c:v>
                </c:pt>
                <c:pt idx="17">
                  <c:v>125</c:v>
                </c:pt>
                <c:pt idx="18">
                  <c:v>62</c:v>
                </c:pt>
                <c:pt idx="19">
                  <c:v>154</c:v>
                </c:pt>
                <c:pt idx="20">
                  <c:v>62</c:v>
                </c:pt>
                <c:pt idx="21">
                  <c:v>74</c:v>
                </c:pt>
                <c:pt idx="22">
                  <c:v>155</c:v>
                </c:pt>
                <c:pt idx="23">
                  <c:v>85</c:v>
                </c:pt>
                <c:pt idx="24">
                  <c:v>88</c:v>
                </c:pt>
                <c:pt idx="25">
                  <c:v>120</c:v>
                </c:pt>
                <c:pt idx="26">
                  <c:v>91</c:v>
                </c:pt>
                <c:pt idx="27">
                  <c:v>62</c:v>
                </c:pt>
                <c:pt idx="28">
                  <c:v>157</c:v>
                </c:pt>
                <c:pt idx="29">
                  <c:v>109</c:v>
                </c:pt>
                <c:pt idx="30">
                  <c:v>120</c:v>
                </c:pt>
                <c:pt idx="31">
                  <c:v>130</c:v>
                </c:pt>
                <c:pt idx="32">
                  <c:v>92</c:v>
                </c:pt>
                <c:pt idx="33">
                  <c:v>116</c:v>
                </c:pt>
                <c:pt idx="34">
                  <c:v>148</c:v>
                </c:pt>
                <c:pt idx="35">
                  <c:v>68</c:v>
                </c:pt>
                <c:pt idx="36">
                  <c:v>158</c:v>
                </c:pt>
                <c:pt idx="37">
                  <c:v>140</c:v>
                </c:pt>
                <c:pt idx="38">
                  <c:v>77</c:v>
                </c:pt>
                <c:pt idx="39">
                  <c:v>165</c:v>
                </c:pt>
                <c:pt idx="40">
                  <c:v>118</c:v>
                </c:pt>
                <c:pt idx="41">
                  <c:v>167</c:v>
                </c:pt>
                <c:pt idx="42">
                  <c:v>120</c:v>
                </c:pt>
                <c:pt idx="43">
                  <c:v>123</c:v>
                </c:pt>
                <c:pt idx="44">
                  <c:v>64</c:v>
                </c:pt>
                <c:pt idx="45">
                  <c:v>124</c:v>
                </c:pt>
                <c:pt idx="46">
                  <c:v>69</c:v>
                </c:pt>
                <c:pt idx="47">
                  <c:v>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14-4C71-80E3-00077E8ED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8"/>
        <c:gapDepth val="428"/>
        <c:shape val="box"/>
        <c:axId val="645287536"/>
        <c:axId val="645287864"/>
        <c:axId val="0"/>
      </c:bar3DChart>
      <c:catAx>
        <c:axId val="645287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solidFill>
            <a:schemeClr val="tx1">
              <a:lumMod val="95000"/>
              <a:lumOff val="5000"/>
            </a:schemeClr>
          </a:solidFill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rgbClr val="FFF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287864"/>
        <c:crosses val="autoZero"/>
        <c:auto val="1"/>
        <c:lblAlgn val="ctr"/>
        <c:lblOffset val="100"/>
        <c:noMultiLvlLbl val="0"/>
      </c:catAx>
      <c:valAx>
        <c:axId val="64528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FFFF00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28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FFFF99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abandon rate </a:t>
            </a:r>
          </a:p>
        </c:rich>
      </c:tx>
      <c:overlay val="0"/>
      <c:spPr>
        <a:solidFill>
          <a:srgbClr val="00B0F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FFFF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Sheet3!$M$7</c:f>
              <c:numCache>
                <c:formatCode>0.00%</c:formatCode>
                <c:ptCount val="1"/>
                <c:pt idx="0">
                  <c:v>8.0000000000000002E-3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10-44A0-9DC3-379C648439A5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Sheet3!$M$8</c:f>
              <c:numCache>
                <c:formatCode>0.00%</c:formatCode>
                <c:ptCount val="1"/>
                <c:pt idx="0">
                  <c:v>9.1999999999999998E-2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10-44A0-9DC3-379C648439A5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Sheet3!$M$9</c:f>
              <c:numCache>
                <c:formatCode>0.00%</c:formatCode>
                <c:ptCount val="1"/>
                <c:pt idx="0">
                  <c:v>1.7999999999999999E-2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10-44A0-9DC3-379C648439A5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val>
            <c:numRef>
              <c:f>Sheet3!$M$10</c:f>
              <c:numCache>
                <c:formatCode>0.00%</c:formatCode>
                <c:ptCount val="1"/>
                <c:pt idx="0">
                  <c:v>3.4000000000000002E-2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10-44A0-9DC3-379C648439A5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val>
            <c:numRef>
              <c:f>Sheet3!$M$11</c:f>
              <c:numCache>
                <c:formatCode>0.00%</c:formatCode>
                <c:ptCount val="1"/>
                <c:pt idx="0">
                  <c:v>2.5999999999999999E-2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410-44A0-9DC3-379C648439A5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val>
            <c:numRef>
              <c:f>Sheet3!$M$12</c:f>
              <c:numCache>
                <c:formatCode>0.00%</c:formatCode>
                <c:ptCount val="1"/>
                <c:pt idx="0">
                  <c:v>2.1000000000000001E-2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410-44A0-9DC3-379C648439A5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Sheet3!$M$13</c:f>
              <c:numCache>
                <c:formatCode>0.00%</c:formatCode>
                <c:ptCount val="1"/>
                <c:pt idx="0">
                  <c:v>7.3999999999999996E-2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410-44A0-9DC3-379C648439A5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Sheet3!$M$14</c:f>
              <c:numCache>
                <c:formatCode>0.00%</c:formatCode>
                <c:ptCount val="1"/>
                <c:pt idx="0">
                  <c:v>5.1999999999999998E-2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410-44A0-9DC3-379C648439A5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Sheet3!$M$15</c:f>
              <c:numCache>
                <c:formatCode>0.00%</c:formatCode>
                <c:ptCount val="1"/>
                <c:pt idx="0">
                  <c:v>3.7999999999999999E-2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410-44A0-9DC3-379C648439A5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Sheet3!$M$16</c:f>
              <c:numCache>
                <c:formatCode>0.00%</c:formatCode>
                <c:ptCount val="1"/>
                <c:pt idx="0">
                  <c:v>7.2999999999999995E-2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410-44A0-9DC3-379C648439A5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Sheet3!$M$17</c:f>
              <c:numCache>
                <c:formatCode>0.00%</c:formatCode>
                <c:ptCount val="1"/>
                <c:pt idx="0">
                  <c:v>6.4000000000000001E-2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410-44A0-9DC3-379C648439A5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Sheet3!$M$18</c:f>
              <c:numCache>
                <c:formatCode>0.00%</c:formatCode>
                <c:ptCount val="1"/>
                <c:pt idx="0">
                  <c:v>3.1E-2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410-44A0-9DC3-379C648439A5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Sheet3!$M$19</c:f>
              <c:numCache>
                <c:formatCode>0.00%</c:formatCode>
                <c:ptCount val="1"/>
                <c:pt idx="0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410-44A0-9DC3-379C648439A5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Sheet3!$M$20</c:f>
              <c:numCache>
                <c:formatCode>0.00%</c:formatCode>
                <c:ptCount val="1"/>
                <c:pt idx="0">
                  <c:v>7.3999999999999996E-2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410-44A0-9DC3-379C648439A5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Sheet3!$M$21</c:f>
              <c:numCache>
                <c:formatCode>0.00%</c:formatCode>
                <c:ptCount val="1"/>
                <c:pt idx="0">
                  <c:v>3.0000000000000001E-3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410-44A0-9DC3-379C648439A5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Sheet3!$M$22</c:f>
              <c:numCache>
                <c:formatCode>0.00%</c:formatCode>
                <c:ptCount val="1"/>
                <c:pt idx="0">
                  <c:v>1.4E-2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410-44A0-9DC3-379C648439A5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Sheet3!$M$23</c:f>
              <c:numCache>
                <c:formatCode>0.00%</c:formatCode>
                <c:ptCount val="1"/>
                <c:pt idx="0">
                  <c:v>3.3000000000000002E-2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410-44A0-9DC3-379C648439A5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Sheet3!$M$24</c:f>
              <c:numCache>
                <c:formatCode>0.00%</c:formatCode>
                <c:ptCount val="1"/>
                <c:pt idx="0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410-44A0-9DC3-379C648439A5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Sheet3!$M$25</c:f>
              <c:numCache>
                <c:formatCode>0.00%</c:formatCode>
                <c:ptCount val="1"/>
                <c:pt idx="0">
                  <c:v>3.7999999999999999E-2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410-44A0-9DC3-379C648439A5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Sheet3!$M$26</c:f>
              <c:numCache>
                <c:formatCode>0.00%</c:formatCode>
                <c:ptCount val="1"/>
                <c:pt idx="0">
                  <c:v>5.8999999999999997E-2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410-44A0-9DC3-379C648439A5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Sheet3!$M$27</c:f>
              <c:numCache>
                <c:formatCode>0.00%</c:formatCode>
                <c:ptCount val="1"/>
                <c:pt idx="0">
                  <c:v>6.6000000000000003E-2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410-44A0-9DC3-379C648439A5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Sheet3!$M$28</c:f>
              <c:numCache>
                <c:formatCode>0.00%</c:formatCode>
                <c:ptCount val="1"/>
                <c:pt idx="0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410-44A0-9DC3-379C648439A5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Sheet3!$M$29</c:f>
              <c:numCache>
                <c:formatCode>0.00%</c:formatCode>
                <c:ptCount val="1"/>
                <c:pt idx="0">
                  <c:v>8.5000000000000006E-2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410-44A0-9DC3-379C648439A5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Sheet3!$M$30</c:f>
              <c:numCache>
                <c:formatCode>0.00%</c:formatCode>
                <c:ptCount val="1"/>
                <c:pt idx="0">
                  <c:v>1.9E-2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410-44A0-9DC3-379C648439A5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Sheet3!$M$31</c:f>
              <c:numCache>
                <c:formatCode>0.00%</c:formatCode>
                <c:ptCount val="1"/>
                <c:pt idx="0">
                  <c:v>8.5000000000000006E-2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410-44A0-9DC3-379C648439A5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Sheet3!$M$32</c:f>
              <c:numCache>
                <c:formatCode>0.00%</c:formatCode>
                <c:ptCount val="1"/>
                <c:pt idx="0">
                  <c:v>3.5999999999999997E-2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410-44A0-9DC3-379C648439A5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Sheet3!$M$33</c:f>
              <c:numCache>
                <c:formatCode>0.00%</c:formatCode>
                <c:ptCount val="1"/>
                <c:pt idx="0">
                  <c:v>9.8000000000000004E-2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410-44A0-9DC3-379C648439A5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Sheet3!$M$34</c:f>
              <c:numCache>
                <c:formatCode>0.00%</c:formatCode>
                <c:ptCount val="1"/>
                <c:pt idx="0">
                  <c:v>9.1999999999999998E-2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A410-44A0-9DC3-379C648439A5}"/>
            </c:ext>
          </c:extLst>
        </c:ser>
        <c:ser>
          <c:idx val="28"/>
          <c:order val="28"/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Sheet3!$M$35</c:f>
              <c:numCache>
                <c:formatCode>0.00%</c:formatCode>
                <c:ptCount val="1"/>
                <c:pt idx="0">
                  <c:v>8.4000000000000005E-2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A410-44A0-9DC3-379C648439A5}"/>
            </c:ext>
          </c:extLst>
        </c:ser>
        <c:ser>
          <c:idx val="29"/>
          <c:order val="29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Sheet3!$M$36</c:f>
              <c:numCache>
                <c:formatCode>0.00%</c:formatCode>
                <c:ptCount val="1"/>
                <c:pt idx="0">
                  <c:v>1.0999999999999999E-2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410-44A0-9DC3-379C648439A5}"/>
            </c:ext>
          </c:extLst>
        </c:ser>
        <c:ser>
          <c:idx val="30"/>
          <c:order val="30"/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Sheet3!$M$37</c:f>
              <c:numCache>
                <c:formatCode>0.00%</c:formatCode>
                <c:ptCount val="1"/>
                <c:pt idx="0">
                  <c:v>4.2000000000000003E-2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A410-44A0-9DC3-379C648439A5}"/>
            </c:ext>
          </c:extLst>
        </c:ser>
        <c:ser>
          <c:idx val="31"/>
          <c:order val="31"/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Sheet3!$M$38</c:f>
              <c:numCache>
                <c:formatCode>0.00%</c:formatCode>
                <c:ptCount val="1"/>
                <c:pt idx="0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A410-44A0-9DC3-379C648439A5}"/>
            </c:ext>
          </c:extLst>
        </c:ser>
        <c:ser>
          <c:idx val="32"/>
          <c:order val="32"/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Sheet3!$M$39</c:f>
              <c:numCache>
                <c:formatCode>0.00%</c:formatCode>
                <c:ptCount val="1"/>
                <c:pt idx="0">
                  <c:v>2.7E-2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A410-44A0-9DC3-379C648439A5}"/>
            </c:ext>
          </c:extLst>
        </c:ser>
        <c:ser>
          <c:idx val="33"/>
          <c:order val="33"/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Sheet3!$M$40</c:f>
              <c:numCache>
                <c:formatCode>0.00%</c:formatCode>
                <c:ptCount val="1"/>
                <c:pt idx="0">
                  <c:v>5.8000000000000003E-2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A410-44A0-9DC3-379C648439A5}"/>
            </c:ext>
          </c:extLst>
        </c:ser>
        <c:ser>
          <c:idx val="34"/>
          <c:order val="34"/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Sheet3!$M$41</c:f>
              <c:numCache>
                <c:formatCode>0.00%</c:formatCode>
                <c:ptCount val="1"/>
                <c:pt idx="0">
                  <c:v>3.1E-2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A410-44A0-9DC3-379C648439A5}"/>
            </c:ext>
          </c:extLst>
        </c:ser>
        <c:ser>
          <c:idx val="35"/>
          <c:order val="35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Sheet3!$M$42</c:f>
              <c:numCache>
                <c:formatCode>0.00%</c:formatCode>
                <c:ptCount val="1"/>
                <c:pt idx="0">
                  <c:v>6.7000000000000004E-2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A410-44A0-9DC3-379C648439A5}"/>
            </c:ext>
          </c:extLst>
        </c:ser>
        <c:ser>
          <c:idx val="36"/>
          <c:order val="36"/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Sheet3!$M$43</c:f>
              <c:numCache>
                <c:formatCode>0.00%</c:formatCode>
                <c:ptCount val="1"/>
                <c:pt idx="0">
                  <c:v>1.0999999999999999E-2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A410-44A0-9DC3-379C648439A5}"/>
            </c:ext>
          </c:extLst>
        </c:ser>
        <c:ser>
          <c:idx val="37"/>
          <c:order val="37"/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Sheet3!$M$44</c:f>
              <c:numCache>
                <c:formatCode>0.00%</c:formatCode>
                <c:ptCount val="1"/>
                <c:pt idx="0">
                  <c:v>7.8E-2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A410-44A0-9DC3-379C648439A5}"/>
            </c:ext>
          </c:extLst>
        </c:ser>
        <c:ser>
          <c:idx val="38"/>
          <c:order val="38"/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Sheet3!$M$45</c:f>
              <c:numCache>
                <c:formatCode>0.00%</c:formatCode>
                <c:ptCount val="1"/>
                <c:pt idx="0">
                  <c:v>4.2000000000000003E-2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A410-44A0-9DC3-379C648439A5}"/>
            </c:ext>
          </c:extLst>
        </c:ser>
        <c:ser>
          <c:idx val="39"/>
          <c:order val="39"/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Sheet3!$M$46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A410-44A0-9DC3-379C648439A5}"/>
            </c:ext>
          </c:extLst>
        </c:ser>
        <c:ser>
          <c:idx val="40"/>
          <c:order val="40"/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Sheet3!$M$47</c:f>
              <c:numCache>
                <c:formatCode>0.00%</c:formatCode>
                <c:ptCount val="1"/>
                <c:pt idx="0">
                  <c:v>2.5999999999999999E-2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A410-44A0-9DC3-379C648439A5}"/>
            </c:ext>
          </c:extLst>
        </c:ser>
        <c:ser>
          <c:idx val="41"/>
          <c:order val="41"/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Sheet3!$M$48</c:f>
              <c:numCache>
                <c:formatCode>0.00%</c:formatCode>
                <c:ptCount val="1"/>
                <c:pt idx="0">
                  <c:v>2.8000000000000001E-2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A410-44A0-9DC3-379C648439A5}"/>
            </c:ext>
          </c:extLst>
        </c:ser>
        <c:ser>
          <c:idx val="42"/>
          <c:order val="42"/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Sheet3!$M$49</c:f>
              <c:numCache>
                <c:formatCode>0.00%</c:formatCode>
                <c:ptCount val="1"/>
                <c:pt idx="0">
                  <c:v>6.5000000000000002E-2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A410-44A0-9DC3-379C648439A5}"/>
            </c:ext>
          </c:extLst>
        </c:ser>
        <c:ser>
          <c:idx val="43"/>
          <c:order val="43"/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Sheet3!$M$50</c:f>
              <c:numCache>
                <c:formatCode>0.00%</c:formatCode>
                <c:ptCount val="1"/>
                <c:pt idx="0">
                  <c:v>5.6000000000000001E-2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A410-44A0-9DC3-379C648439A5}"/>
            </c:ext>
          </c:extLst>
        </c:ser>
        <c:ser>
          <c:idx val="44"/>
          <c:order val="44"/>
          <c:spPr>
            <a:solidFill>
              <a:schemeClr val="accent3">
                <a:lumMod val="7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Sheet3!$M$51</c:f>
              <c:numCache>
                <c:formatCode>0.00%</c:formatCode>
                <c:ptCount val="1"/>
                <c:pt idx="0">
                  <c:v>8.9999999999999993E-3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A410-44A0-9DC3-379C648439A5}"/>
            </c:ext>
          </c:extLst>
        </c:ser>
        <c:ser>
          <c:idx val="45"/>
          <c:order val="45"/>
          <c:spPr>
            <a:solidFill>
              <a:schemeClr val="accent4">
                <a:lumMod val="7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Sheet3!$M$52</c:f>
              <c:numCache>
                <c:formatCode>0.00%</c:formatCode>
                <c:ptCount val="1"/>
                <c:pt idx="0">
                  <c:v>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A410-44A0-9DC3-379C648439A5}"/>
            </c:ext>
          </c:extLst>
        </c:ser>
        <c:ser>
          <c:idx val="46"/>
          <c:order val="46"/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Sheet3!$M$53</c:f>
              <c:numCache>
                <c:formatCode>0.00%</c:formatCode>
                <c:ptCount val="1"/>
                <c:pt idx="0">
                  <c:v>1.2999999999999999E-2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A410-44A0-9DC3-379C648439A5}"/>
            </c:ext>
          </c:extLst>
        </c:ser>
        <c:ser>
          <c:idx val="47"/>
          <c:order val="47"/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Sheet3!$M$54</c:f>
              <c:numCache>
                <c:formatCode>0.00%</c:formatCode>
                <c:ptCount val="1"/>
                <c:pt idx="0">
                  <c:v>6.6000000000000003E-2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A410-44A0-9DC3-379C64843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46092144"/>
        <c:axId val="546089520"/>
        <c:axId val="0"/>
      </c:bar3DChart>
      <c:catAx>
        <c:axId val="546092144"/>
        <c:scaling>
          <c:orientation val="minMax"/>
        </c:scaling>
        <c:delete val="1"/>
        <c:axPos val="b"/>
        <c:majorTickMark val="none"/>
        <c:minorTickMark val="none"/>
        <c:tickLblPos val="nextTo"/>
        <c:crossAx val="546089520"/>
        <c:crosses val="autoZero"/>
        <c:auto val="1"/>
        <c:lblAlgn val="ctr"/>
        <c:lblOffset val="100"/>
        <c:noMultiLvlLbl val="0"/>
      </c:catAx>
      <c:valAx>
        <c:axId val="54608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092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rgbClr val="FFFF99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FCR</a:t>
            </a:r>
          </a:p>
        </c:rich>
      </c:tx>
      <c:overlay val="0"/>
      <c:spPr>
        <a:solidFill>
          <a:schemeClr val="accent5">
            <a:lumMod val="40000"/>
            <a:lumOff val="6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2420114152397634E-2"/>
          <c:y val="0.10292924321959755"/>
          <c:w val="0.85081014873140859"/>
          <c:h val="0.77163534955857793"/>
        </c:manualLayout>
      </c:layout>
      <c:lineChart>
        <c:grouping val="stacked"/>
        <c:varyColors val="0"/>
        <c:ser>
          <c:idx val="0"/>
          <c:order val="0"/>
          <c:tx>
            <c:strRef>
              <c:f>Sheet3!$N$6</c:f>
              <c:strCache>
                <c:ptCount val="1"/>
                <c:pt idx="0">
                  <c:v>fcr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Sheet3!$N$7:$N$54</c:f>
              <c:numCache>
                <c:formatCode>0.00%</c:formatCode>
                <c:ptCount val="48"/>
                <c:pt idx="0">
                  <c:v>0.91149999999999998</c:v>
                </c:pt>
                <c:pt idx="1">
                  <c:v>0.91439999999999999</c:v>
                </c:pt>
                <c:pt idx="2">
                  <c:v>0.9093</c:v>
                </c:pt>
                <c:pt idx="3">
                  <c:v>0.9093</c:v>
                </c:pt>
                <c:pt idx="4">
                  <c:v>0.91810000000000003</c:v>
                </c:pt>
                <c:pt idx="5">
                  <c:v>0.9103</c:v>
                </c:pt>
                <c:pt idx="6">
                  <c:v>0.90959999999999996</c:v>
                </c:pt>
                <c:pt idx="7">
                  <c:v>0.9123</c:v>
                </c:pt>
                <c:pt idx="8">
                  <c:v>0.9143</c:v>
                </c:pt>
                <c:pt idx="9">
                  <c:v>0.91290000000000004</c:v>
                </c:pt>
                <c:pt idx="10">
                  <c:v>0.91220000000000001</c:v>
                </c:pt>
                <c:pt idx="11">
                  <c:v>0.9163</c:v>
                </c:pt>
                <c:pt idx="12">
                  <c:v>0.9123</c:v>
                </c:pt>
                <c:pt idx="13">
                  <c:v>0.91090000000000004</c:v>
                </c:pt>
                <c:pt idx="14">
                  <c:v>0.91359999999999997</c:v>
                </c:pt>
                <c:pt idx="15">
                  <c:v>0.91220000000000001</c:v>
                </c:pt>
                <c:pt idx="16">
                  <c:v>0.91539999999999999</c:v>
                </c:pt>
                <c:pt idx="17">
                  <c:v>0.91590000000000005</c:v>
                </c:pt>
                <c:pt idx="18">
                  <c:v>0.91879999999999995</c:v>
                </c:pt>
                <c:pt idx="19">
                  <c:v>0.91710000000000003</c:v>
                </c:pt>
                <c:pt idx="20">
                  <c:v>0.91820000000000002</c:v>
                </c:pt>
                <c:pt idx="21">
                  <c:v>0.91200000000000003</c:v>
                </c:pt>
                <c:pt idx="22">
                  <c:v>0.91320000000000001</c:v>
                </c:pt>
                <c:pt idx="23">
                  <c:v>0.91679999999999995</c:v>
                </c:pt>
                <c:pt idx="24">
                  <c:v>0.91669999999999996</c:v>
                </c:pt>
                <c:pt idx="25">
                  <c:v>0.91</c:v>
                </c:pt>
                <c:pt idx="26">
                  <c:v>0.91669999999999996</c:v>
                </c:pt>
                <c:pt idx="27">
                  <c:v>0.91439999999999999</c:v>
                </c:pt>
                <c:pt idx="28">
                  <c:v>0.91449999999999998</c:v>
                </c:pt>
                <c:pt idx="29">
                  <c:v>0.90990000000000004</c:v>
                </c:pt>
                <c:pt idx="30">
                  <c:v>0.91269999999999996</c:v>
                </c:pt>
                <c:pt idx="31">
                  <c:v>0.91739999999999999</c:v>
                </c:pt>
                <c:pt idx="32">
                  <c:v>0.91200000000000003</c:v>
                </c:pt>
                <c:pt idx="33">
                  <c:v>0.91320000000000001</c:v>
                </c:pt>
                <c:pt idx="34">
                  <c:v>0.91359999999999997</c:v>
                </c:pt>
                <c:pt idx="35">
                  <c:v>0.91320000000000001</c:v>
                </c:pt>
                <c:pt idx="36">
                  <c:v>0.91</c:v>
                </c:pt>
                <c:pt idx="37">
                  <c:v>0.91410000000000002</c:v>
                </c:pt>
                <c:pt idx="38">
                  <c:v>0.91239999999999999</c:v>
                </c:pt>
                <c:pt idx="39">
                  <c:v>0.90980000000000005</c:v>
                </c:pt>
                <c:pt idx="40">
                  <c:v>0.91320000000000001</c:v>
                </c:pt>
                <c:pt idx="41">
                  <c:v>0.91120000000000001</c:v>
                </c:pt>
                <c:pt idx="42">
                  <c:v>0.91590000000000005</c:v>
                </c:pt>
                <c:pt idx="43">
                  <c:v>0.91269999999999996</c:v>
                </c:pt>
                <c:pt idx="44">
                  <c:v>0.9173</c:v>
                </c:pt>
                <c:pt idx="45">
                  <c:v>0.90910000000000002</c:v>
                </c:pt>
                <c:pt idx="46">
                  <c:v>0.91720000000000002</c:v>
                </c:pt>
                <c:pt idx="47">
                  <c:v>0.9113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8F-4E6B-890B-78A0FE8E9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6090176"/>
        <c:axId val="546090832"/>
      </c:lineChart>
      <c:catAx>
        <c:axId val="5460901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solidFill>
            <a:schemeClr val="tx1">
              <a:lumMod val="95000"/>
              <a:lumOff val="5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090832"/>
        <c:crosses val="autoZero"/>
        <c:auto val="1"/>
        <c:lblAlgn val="ctr"/>
        <c:lblOffset val="100"/>
        <c:noMultiLvlLbl val="0"/>
      </c:catAx>
      <c:valAx>
        <c:axId val="54609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FFC000"/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solidFill>
            <a:schemeClr val="tx1">
              <a:lumMod val="95000"/>
              <a:lumOff val="5000"/>
            </a:schemeClr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09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dashboard!$N$35</c:f>
              <c:strCache>
                <c:ptCount val="1"/>
                <c:pt idx="0">
                  <c:v>abandon rate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4">
                        <a:lumMod val="40000"/>
                        <a:lumOff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dashboard!$O$35:$R$35</c:f>
              <c:numCache>
                <c:formatCode>0.00%</c:formatCode>
                <c:ptCount val="4"/>
                <c:pt idx="0">
                  <c:v>0</c:v>
                </c:pt>
                <c:pt idx="1">
                  <c:v>1.2E-2</c:v>
                </c:pt>
                <c:pt idx="2">
                  <c:v>6.7000000000000004E-2</c:v>
                </c:pt>
                <c:pt idx="3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5A-45BF-ADD5-3EE36008C5A5}"/>
            </c:ext>
          </c:extLst>
        </c:ser>
        <c:ser>
          <c:idx val="1"/>
          <c:order val="1"/>
          <c:tx>
            <c:strRef>
              <c:f>dashboard!$N$36</c:f>
              <c:strCache>
                <c:ptCount val="1"/>
                <c:pt idx="0">
                  <c:v>fcr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rgbClr val="FF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FFF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dashboard!$O$36:$R$36</c:f>
              <c:numCache>
                <c:formatCode>0.00%</c:formatCode>
                <c:ptCount val="4"/>
                <c:pt idx="0">
                  <c:v>0.90980000000000005</c:v>
                </c:pt>
                <c:pt idx="1">
                  <c:v>0.91110000000000002</c:v>
                </c:pt>
                <c:pt idx="2">
                  <c:v>0.91300000000000003</c:v>
                </c:pt>
                <c:pt idx="3">
                  <c:v>0.91059999999999997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5A-45BF-ADD5-3EE36008C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4929912"/>
        <c:axId val="674930240"/>
      </c:barChart>
      <c:catAx>
        <c:axId val="6749299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4">
                    <a:lumMod val="40000"/>
                    <a:lumOff val="6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930240"/>
        <c:crosses val="autoZero"/>
        <c:auto val="1"/>
        <c:lblAlgn val="ctr"/>
        <c:lblOffset val="100"/>
        <c:noMultiLvlLbl val="0"/>
      </c:catAx>
      <c:valAx>
        <c:axId val="67493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CC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929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accent6">
                  <a:lumMod val="40000"/>
                  <a:lumOff val="6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95000"/>
        <a:lumOff val="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size">
        <cx:f dir="row">_xlchart.v1.4</cx:f>
      </cx:numDim>
    </cx:data>
    <cx:data id="1">
      <cx:strDim type="cat">
        <cx:f dir="row">_xlchart.v1.3</cx:f>
      </cx:strDim>
      <cx:numDim type="size">
        <cx:f dir="row">_xlchart.v1.5</cx:f>
      </cx:numDim>
    </cx:data>
    <cx:data id="2">
      <cx:strDim type="cat">
        <cx:f dir="row">_xlchart.v1.3</cx:f>
      </cx:strDim>
      <cx:numDim type="size">
        <cx:f dir="row">_xlchart.v1.6</cx:f>
      </cx:numDim>
    </cx:data>
  </cx:chartData>
  <cx:chart>
    <cx:title pos="t" align="ctr" overlay="0">
      <cx:tx>
        <cx:txData>
          <cx:v>CALL CENTER PERFORMANCE </cx:v>
        </cx:txData>
      </cx:tx>
      <cx:spPr>
        <a:solidFill>
          <a:srgbClr val="FFFF99"/>
        </a:solidFill>
      </cx:spPr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effectLst>
                <a:glow rad="228600">
                  <a:schemeClr val="accent5">
                    <a:satMod val="175000"/>
                    <a:alpha val="40000"/>
                  </a:schemeClr>
                </a:glow>
                <a:innerShdw blurRad="63500" dist="50800" dir="13500000">
                  <a:srgbClr val="FFFF00">
                    <a:alpha val="50000"/>
                  </a:srgbClr>
                </a:innerShdw>
              </a:effectLst>
            </a:defRPr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effectLst>
                <a:glow rad="228600">
                  <a:schemeClr val="accent5">
                    <a:satMod val="175000"/>
                    <a:alpha val="40000"/>
                  </a:schemeClr>
                </a:glow>
                <a:innerShdw blurRad="63500" dist="50800" dir="13500000">
                  <a:srgbClr val="FFFF00">
                    <a:alpha val="50000"/>
                  </a:srgbClr>
                </a:innerShdw>
              </a:effectLst>
              <a:latin typeface="Calibri"/>
            </a:rPr>
            <a:t>CALL CENTER PERFORMANCE </a:t>
          </a:r>
        </a:p>
      </cx:txPr>
    </cx:title>
    <cx:plotArea>
      <cx:plotAreaRegion>
        <cx:plotSurface>
          <cx:spPr>
            <a:solidFill>
              <a:schemeClr val="tx1">
                <a:lumMod val="95000"/>
                <a:lumOff val="5000"/>
              </a:schemeClr>
            </a:solidFill>
          </cx:spPr>
        </cx:plotSurface>
        <cx:series layoutId="sunburst" uniqueId="{D08ED448-7415-43B5-B3FF-1F96F88AAF67}" formatIdx="0">
          <cx:tx>
            <cx:txData>
              <cx:f>_xlchart.v1.0</cx:f>
              <cx:v>time to answer</cx:v>
            </cx:txData>
          </cx:tx>
          <cx:dataLabels pos="ctr">
            <cx:spPr>
              <a:solidFill>
                <a:schemeClr val="accent4">
                  <a:lumMod val="40000"/>
                  <a:lumOff val="60000"/>
                </a:schemeClr>
              </a:solidFill>
            </cx:spPr>
            <cx:visibility seriesName="0" categoryName="1" value="0"/>
          </cx:dataLabels>
          <cx:dataId val="0"/>
        </cx:series>
        <cx:series layoutId="sunburst" hidden="1" uniqueId="{79303B76-641C-4055-BFD5-9107E139449A}" formatIdx="1">
          <cx:tx>
            <cx:txData>
              <cx:f>_xlchart.v1.1</cx:f>
              <cx:v>abandon rate</cx:v>
            </cx:txData>
          </cx:tx>
          <cx:dataLabels pos="ctr">
            <cx:visibility seriesName="0" categoryName="1" value="0"/>
          </cx:dataLabels>
          <cx:dataId val="1"/>
        </cx:series>
        <cx:series layoutId="sunburst" hidden="1" uniqueId="{4319E793-DCDD-46C5-9FA5-53F75F700018}" formatIdx="2">
          <cx:tx>
            <cx:txData>
              <cx:f>_xlchart.v1.2</cx:f>
              <cx:v>fcr</cx:v>
            </cx:txData>
          </cx:tx>
          <cx:dataLabels pos="ctr">
            <cx:visibility seriesName="0" categoryName="1" value="0"/>
          </cx:dataLabels>
          <cx:dataId val="2"/>
        </cx:series>
      </cx:plotAreaRegion>
    </cx:plotArea>
  </cx:chart>
  <cx:spPr>
    <a:solidFill>
      <a:srgbClr val="FF0000"/>
    </a:solidFill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List" dx="22" fmlaLink="Sheet3!$D$11" fmlaRange="Sheet3!$D$7:$D$10" sel="1" val="0"/>
</file>

<file path=xl/ctrlProps/ctrlProp2.xml><?xml version="1.0" encoding="utf-8"?>
<formControlPr xmlns="http://schemas.microsoft.com/office/spreadsheetml/2009/9/main" objectType="Spin" dx="22" fmlaLink="data!$C$4" max="48" min="1" page="10" val="40"/>
</file>

<file path=xl/ctrlProps/ctrlProp3.xml><?xml version="1.0" encoding="utf-8"?>
<formControlPr xmlns="http://schemas.microsoft.com/office/spreadsheetml/2009/9/main" objectType="Spin" dx="22" fmlaLink="Sheet2!$N$2" max="47" min="1" page="10" val="15"/>
</file>

<file path=xl/ctrlProps/ctrlProp4.xml><?xml version="1.0" encoding="utf-8"?>
<formControlPr xmlns="http://schemas.microsoft.com/office/spreadsheetml/2009/9/main" objectType="List" dx="22" fmlaLink="$D$11" fmlaRange="$D$7:$D$10" sel="1" val="0"/>
</file>

<file path=xl/ctrlProps/ctrlProp5.xml><?xml version="1.0" encoding="utf-8"?>
<formControlPr xmlns="http://schemas.microsoft.com/office/spreadsheetml/2009/9/main" objectType="Spin" dx="22" fmlaLink="data!$C$4" max="48" min="1" page="10" val="4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image" Target="../media/image1.png"/><Relationship Id="rId4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47624</xdr:colOff>
      <xdr:row>16</xdr:row>
      <xdr:rowOff>152400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5</xdr:row>
          <xdr:rowOff>66675</xdr:rowOff>
        </xdr:from>
        <xdr:to>
          <xdr:col>10</xdr:col>
          <xdr:colOff>104775</xdr:colOff>
          <xdr:row>10</xdr:row>
          <xdr:rowOff>9525</xdr:rowOff>
        </xdr:to>
        <xdr:sp macro="" textlink="">
          <xdr:nvSpPr>
            <xdr:cNvPr id="1026" name="List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114300</xdr:colOff>
      <xdr:row>0</xdr:row>
      <xdr:rowOff>0</xdr:rowOff>
    </xdr:from>
    <xdr:to>
      <xdr:col>20</xdr:col>
      <xdr:colOff>319089</xdr:colOff>
      <xdr:row>17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19</xdr:row>
      <xdr:rowOff>66675</xdr:rowOff>
    </xdr:from>
    <xdr:to>
      <xdr:col>9</xdr:col>
      <xdr:colOff>66675</xdr:colOff>
      <xdr:row>36</xdr:row>
      <xdr:rowOff>47625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32</xdr:row>
          <xdr:rowOff>9525</xdr:rowOff>
        </xdr:from>
        <xdr:to>
          <xdr:col>12</xdr:col>
          <xdr:colOff>133350</xdr:colOff>
          <xdr:row>35</xdr:row>
          <xdr:rowOff>314325</xdr:rowOff>
        </xdr:to>
        <xdr:sp macro="" textlink="">
          <xdr:nvSpPr>
            <xdr:cNvPr id="1034" name="Spinner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12</xdr:col>
      <xdr:colOff>9525</xdr:colOff>
      <xdr:row>18</xdr:row>
      <xdr:rowOff>0</xdr:rowOff>
    </xdr:from>
    <xdr:to>
      <xdr:col>18</xdr:col>
      <xdr:colOff>0</xdr:colOff>
      <xdr:row>25</xdr:row>
      <xdr:rowOff>142874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24725" y="2914650"/>
              <a:ext cx="5048250" cy="12763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oneCellAnchor>
    <xdr:from>
      <xdr:col>12</xdr:col>
      <xdr:colOff>19048</xdr:colOff>
      <xdr:row>25</xdr:row>
      <xdr:rowOff>133349</xdr:rowOff>
    </xdr:from>
    <xdr:ext cx="5029201" cy="1038225"/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334248" y="4181474"/>
          <a:ext cx="5029201" cy="1038225"/>
        </a:xfrm>
        <a:prstGeom prst="rect">
          <a:avLst/>
        </a:prstGeom>
      </xdr:spPr>
    </xdr:pic>
    <xdr:clientData/>
  </xdr:oneCellAnchor>
  <xdr:twoCellAnchor>
    <xdr:from>
      <xdr:col>0</xdr:col>
      <xdr:colOff>0</xdr:colOff>
      <xdr:row>37</xdr:row>
      <xdr:rowOff>4762</xdr:rowOff>
    </xdr:from>
    <xdr:to>
      <xdr:col>9</xdr:col>
      <xdr:colOff>200024</xdr:colOff>
      <xdr:row>52</xdr:row>
      <xdr:rowOff>138112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1</xdr:row>
          <xdr:rowOff>57150</xdr:rowOff>
        </xdr:from>
        <xdr:to>
          <xdr:col>12</xdr:col>
          <xdr:colOff>457200</xdr:colOff>
          <xdr:row>6</xdr:row>
          <xdr:rowOff>76200</xdr:rowOff>
        </xdr:to>
        <xdr:sp macro="" textlink="">
          <xdr:nvSpPr>
            <xdr:cNvPr id="11922433" name="Spinner 1" hidden="1">
              <a:extLst>
                <a:ext uri="{63B3BB69-23CF-44E3-9099-C40C66FF867C}">
                  <a14:compatExt spid="_x0000_s11922433"/>
                </a:ext>
                <a:ext uri="{FF2B5EF4-FFF2-40B4-BE49-F238E27FC236}">
                  <a16:creationId xmlns:a16="http://schemas.microsoft.com/office/drawing/2014/main" id="{00000000-0008-0000-0300-000001ECB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5</xdr:row>
          <xdr:rowOff>142875</xdr:rowOff>
        </xdr:from>
        <xdr:to>
          <xdr:col>6</xdr:col>
          <xdr:colOff>9525</xdr:colOff>
          <xdr:row>10</xdr:row>
          <xdr:rowOff>152400</xdr:rowOff>
        </xdr:to>
        <xdr:sp macro="" textlink="">
          <xdr:nvSpPr>
            <xdr:cNvPr id="11921412" name="List Box 4" hidden="1">
              <a:extLst>
                <a:ext uri="{63B3BB69-23CF-44E3-9099-C40C66FF867C}">
                  <a14:compatExt spid="_x0000_s11921412"/>
                </a:ext>
                <a:ext uri="{FF2B5EF4-FFF2-40B4-BE49-F238E27FC236}">
                  <a16:creationId xmlns:a16="http://schemas.microsoft.com/office/drawing/2014/main" id="{00000000-0008-0000-0400-000004E8B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17</xdr:row>
          <xdr:rowOff>171450</xdr:rowOff>
        </xdr:from>
        <xdr:to>
          <xdr:col>1</xdr:col>
          <xdr:colOff>200025</xdr:colOff>
          <xdr:row>21</xdr:row>
          <xdr:rowOff>47625</xdr:rowOff>
        </xdr:to>
        <xdr:sp macro="" textlink="">
          <xdr:nvSpPr>
            <xdr:cNvPr id="11921414" name="Spinner 6" hidden="1">
              <a:extLst>
                <a:ext uri="{63B3BB69-23CF-44E3-9099-C40C66FF867C}">
                  <a14:compatExt spid="_x0000_s11921414"/>
                </a:ext>
                <a:ext uri="{FF2B5EF4-FFF2-40B4-BE49-F238E27FC236}">
                  <a16:creationId xmlns:a16="http://schemas.microsoft.com/office/drawing/2014/main" id="{00000000-0008-0000-0400-000006E8B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00000">
            <a:alpha val="70000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00000">
            <a:alpha val="70000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EX2"/>
  <sheetViews>
    <sheetView workbookViewId="0">
      <pane ySplit="1" topLeftCell="A2" activePane="bottomLeft" state="frozen"/>
      <selection pane="bottomLeft" activeCell="A2" sqref="A2"/>
    </sheetView>
  </sheetViews>
  <sheetFormatPr defaultRowHeight="12.75" x14ac:dyDescent="0.2"/>
  <cols>
    <col min="1" max="1" width="18.42578125" style="38" bestFit="1" customWidth="1"/>
    <col min="2" max="2" width="3.5703125" style="38" bestFit="1" customWidth="1"/>
    <col min="3" max="5" width="2" style="38" bestFit="1" customWidth="1"/>
    <col min="6" max="6" width="4.42578125" style="38" bestFit="1" customWidth="1"/>
    <col min="7" max="7" width="4.7109375" style="38" bestFit="1" customWidth="1"/>
    <col min="8" max="8" width="4.140625" style="38" bestFit="1" customWidth="1"/>
    <col min="9" max="9" width="7.28515625" style="38" bestFit="1" customWidth="1"/>
    <col min="10" max="10" width="9" style="38" bestFit="1" customWidth="1"/>
    <col min="11" max="11" width="10.42578125" style="38" bestFit="1" customWidth="1"/>
    <col min="12" max="12" width="7.42578125" style="38" bestFit="1" customWidth="1"/>
    <col min="13" max="14" width="5" style="38" bestFit="1" customWidth="1"/>
    <col min="15" max="17" width="6.85546875" style="38" bestFit="1" customWidth="1"/>
    <col min="18" max="18" width="4.7109375" style="38" bestFit="1" customWidth="1"/>
    <col min="19" max="19" width="11.85546875" style="38" bestFit="1" customWidth="1"/>
    <col min="20" max="20" width="11.5703125" style="38" bestFit="1" customWidth="1"/>
    <col min="21" max="21" width="9" style="38" bestFit="1" customWidth="1"/>
    <col min="22" max="22" width="10.140625" style="38" bestFit="1" customWidth="1"/>
    <col min="23" max="25" width="9.140625" style="38"/>
    <col min="26" max="26" width="20.42578125" style="38" bestFit="1" customWidth="1"/>
    <col min="27" max="27" width="11.85546875" style="38" bestFit="1" customWidth="1"/>
    <col min="28" max="28" width="11.5703125" style="38" bestFit="1" customWidth="1"/>
    <col min="29" max="29" width="9" style="38" bestFit="1" customWidth="1"/>
    <col min="30" max="30" width="10.140625" style="38" bestFit="1" customWidth="1"/>
    <col min="31" max="32" width="6.42578125" style="38" bestFit="1" customWidth="1"/>
    <col min="33" max="33" width="4.28515625" style="38" bestFit="1" customWidth="1"/>
    <col min="34" max="35" width="7.85546875" style="38" bestFit="1" customWidth="1"/>
    <col min="36" max="37" width="6.42578125" style="38" bestFit="1" customWidth="1"/>
    <col min="38" max="38" width="4.28515625" style="38" bestFit="1" customWidth="1"/>
    <col min="39" max="40" width="7.85546875" style="38" bestFit="1" customWidth="1"/>
    <col min="41" max="50" width="9.140625" style="38"/>
  </cols>
  <sheetData>
    <row r="1" spans="1:50 1501:1506" s="35" customFormat="1" ht="15" x14ac:dyDescent="0.25">
      <c r="A1" s="33" t="s">
        <v>17</v>
      </c>
      <c r="B1" s="33" t="s">
        <v>18</v>
      </c>
      <c r="C1" s="33">
        <v>1</v>
      </c>
      <c r="D1" s="33">
        <v>2</v>
      </c>
      <c r="E1" s="33">
        <v>3</v>
      </c>
      <c r="F1" s="33" t="s">
        <v>19</v>
      </c>
      <c r="G1" s="33" t="s">
        <v>20</v>
      </c>
      <c r="H1" s="33" t="s">
        <v>21</v>
      </c>
      <c r="I1" s="33" t="s">
        <v>22</v>
      </c>
      <c r="J1" s="33" t="s">
        <v>23</v>
      </c>
      <c r="K1" s="33" t="s">
        <v>24</v>
      </c>
      <c r="L1" s="33" t="s">
        <v>25</v>
      </c>
      <c r="M1" s="33" t="s">
        <v>26</v>
      </c>
      <c r="N1" s="33" t="s">
        <v>27</v>
      </c>
      <c r="O1" s="34" t="s">
        <v>28</v>
      </c>
      <c r="P1" s="33" t="s">
        <v>29</v>
      </c>
      <c r="Q1" s="33" t="s">
        <v>30</v>
      </c>
      <c r="R1" s="33" t="s">
        <v>31</v>
      </c>
      <c r="S1" s="33" t="s">
        <v>32</v>
      </c>
      <c r="T1" s="33" t="s">
        <v>33</v>
      </c>
      <c r="U1" s="33" t="s">
        <v>34</v>
      </c>
      <c r="V1" s="33" t="s">
        <v>35</v>
      </c>
      <c r="W1" s="37"/>
      <c r="X1" s="37"/>
      <c r="Y1" s="37"/>
      <c r="Z1" s="33" t="s">
        <v>36</v>
      </c>
      <c r="AA1" s="33" t="s">
        <v>32</v>
      </c>
      <c r="AB1" s="33" t="s">
        <v>33</v>
      </c>
      <c r="AC1" s="36" t="s">
        <v>34</v>
      </c>
      <c r="AD1" s="33" t="s">
        <v>35</v>
      </c>
      <c r="AE1" s="36" t="s">
        <v>37</v>
      </c>
      <c r="AF1" s="36" t="s">
        <v>38</v>
      </c>
      <c r="AG1" s="36" t="s">
        <v>39</v>
      </c>
      <c r="AH1" s="36" t="s">
        <v>40</v>
      </c>
      <c r="AI1" s="36" t="s">
        <v>41</v>
      </c>
      <c r="AJ1" s="36" t="s">
        <v>37</v>
      </c>
      <c r="AK1" s="36" t="s">
        <v>38</v>
      </c>
      <c r="AL1" s="36" t="s">
        <v>39</v>
      </c>
      <c r="AM1" s="36" t="s">
        <v>40</v>
      </c>
      <c r="AN1" s="36" t="s">
        <v>41</v>
      </c>
      <c r="AO1" s="37"/>
      <c r="AP1" s="37"/>
      <c r="AQ1" s="37"/>
      <c r="AR1" s="37"/>
      <c r="AS1" s="37"/>
      <c r="AT1" s="37"/>
      <c r="AU1" s="37"/>
      <c r="AV1" s="37"/>
      <c r="AW1" s="37"/>
      <c r="AX1" s="37"/>
      <c r="BES1" s="33" t="s">
        <v>42</v>
      </c>
      <c r="BET1" s="33" t="s">
        <v>32</v>
      </c>
      <c r="BEU1" s="33" t="s">
        <v>33</v>
      </c>
      <c r="BEV1" s="36" t="s">
        <v>34</v>
      </c>
      <c r="BEW1" s="33" t="s">
        <v>35</v>
      </c>
      <c r="BEX1" s="36" t="s">
        <v>40</v>
      </c>
    </row>
    <row r="2" spans="1:50 1501:1506" x14ac:dyDescent="0.2">
      <c r="A2" s="38" t="s">
        <v>43</v>
      </c>
      <c r="B2" s="38">
        <f>55</f>
        <v>55</v>
      </c>
      <c r="C2" s="38">
        <f>B2-F2</f>
        <v>55</v>
      </c>
      <c r="D2" s="38">
        <f>H2/50</f>
        <v>2</v>
      </c>
      <c r="E2" s="38">
        <f>1.5*H2-C2-D2</f>
        <v>93</v>
      </c>
      <c r="F2" s="38">
        <v>0</v>
      </c>
      <c r="G2" s="38">
        <v>100</v>
      </c>
      <c r="H2" s="38">
        <f>G2-F2</f>
        <v>100</v>
      </c>
      <c r="I2" s="38" t="s">
        <v>44</v>
      </c>
      <c r="J2" s="38">
        <v>0</v>
      </c>
      <c r="K2" s="38">
        <v>9</v>
      </c>
      <c r="L2" s="38">
        <v>15</v>
      </c>
      <c r="M2" s="38">
        <v>70</v>
      </c>
      <c r="N2" s="38">
        <v>30</v>
      </c>
      <c r="O2" s="38">
        <v>255</v>
      </c>
      <c r="P2" s="38">
        <v>65535</v>
      </c>
      <c r="Q2" s="38">
        <v>65280</v>
      </c>
      <c r="R2" s="38" t="s">
        <v>45</v>
      </c>
      <c r="S2" s="38" t="str">
        <f ca="1">SUBSTITUTE(MID(_xlfn.FORMULATEXT(V2),2,FIND("!",_xlfn.FORMULATEXT(V2),1)-2), "'","")</f>
        <v>#REF</v>
      </c>
      <c r="T2" s="38" t="e">
        <f ca="1" xml:space="preserve"> _xlfn.SHEET(#REF!)</f>
        <v>#REF!</v>
      </c>
      <c r="V2" s="38" t="e">
        <f>#REF!</f>
        <v>#REF!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W54"/>
  <sheetViews>
    <sheetView showGridLines="0" workbookViewId="0">
      <selection activeCell="Z13" sqref="Z13"/>
    </sheetView>
  </sheetViews>
  <sheetFormatPr defaultRowHeight="14.25" x14ac:dyDescent="0.25"/>
  <cols>
    <col min="1" max="1" width="9.140625" style="7"/>
    <col min="2" max="2" width="7.140625" style="7" customWidth="1"/>
    <col min="3" max="3" width="8.28515625" style="7" bestFit="1" customWidth="1"/>
    <col min="4" max="5" width="5.42578125" style="7" bestFit="1" customWidth="1"/>
    <col min="6" max="6" width="5" style="7" bestFit="1" customWidth="1"/>
    <col min="7" max="7" width="4.85546875" style="7" bestFit="1" customWidth="1"/>
    <col min="8" max="10" width="0.7109375" style="7" customWidth="1"/>
    <col min="11" max="11" width="7.140625" style="7" customWidth="1"/>
    <col min="12" max="15" width="6" style="7" bestFit="1" customWidth="1"/>
    <col min="16" max="16" width="1.5703125" style="7" customWidth="1"/>
    <col min="17" max="22" width="7.140625" style="7" customWidth="1"/>
    <col min="23" max="16384" width="9.140625" style="7"/>
  </cols>
  <sheetData>
    <row r="2" spans="2:23" ht="33.75" customHeight="1" x14ac:dyDescent="0.25">
      <c r="B2" s="76" t="s">
        <v>46</v>
      </c>
      <c r="C2" s="76"/>
      <c r="D2" s="76"/>
      <c r="E2" s="76"/>
      <c r="F2" s="76"/>
      <c r="G2" s="76"/>
      <c r="H2" s="29"/>
      <c r="I2" s="29"/>
      <c r="J2" s="29"/>
      <c r="K2" s="75" t="s">
        <v>47</v>
      </c>
      <c r="L2" s="75"/>
      <c r="M2" s="75"/>
      <c r="N2" s="75"/>
      <c r="O2" s="75"/>
      <c r="P2" s="29"/>
      <c r="Q2" s="77" t="s">
        <v>65</v>
      </c>
      <c r="R2" s="77"/>
      <c r="S2" s="77"/>
      <c r="T2" s="77"/>
      <c r="U2" s="77"/>
      <c r="V2" s="77"/>
    </row>
    <row r="3" spans="2:23" ht="14.25" customHeight="1" x14ac:dyDescent="0.25"/>
    <row r="4" spans="2:23" ht="15" thickBot="1" x14ac:dyDescent="0.3">
      <c r="C4" s="22" t="s">
        <v>7</v>
      </c>
      <c r="D4" s="22" t="s">
        <v>8</v>
      </c>
      <c r="E4" s="22" t="s">
        <v>9</v>
      </c>
      <c r="F4" s="22" t="s">
        <v>10</v>
      </c>
      <c r="G4" s="22" t="s">
        <v>12</v>
      </c>
      <c r="L4" s="22" t="s">
        <v>7</v>
      </c>
      <c r="M4" s="22" t="s">
        <v>8</v>
      </c>
      <c r="N4" s="22" t="s">
        <v>9</v>
      </c>
      <c r="O4" s="22" t="s">
        <v>10</v>
      </c>
      <c r="P4" s="22" t="s">
        <v>12</v>
      </c>
      <c r="S4" s="22" t="s">
        <v>7</v>
      </c>
      <c r="T4" s="22" t="s">
        <v>8</v>
      </c>
      <c r="U4" s="22" t="s">
        <v>9</v>
      </c>
      <c r="V4" s="22" t="s">
        <v>10</v>
      </c>
      <c r="W4" s="22" t="s">
        <v>12</v>
      </c>
    </row>
    <row r="5" spans="2:23" x14ac:dyDescent="0.25">
      <c r="B5" s="11">
        <v>1</v>
      </c>
      <c r="C5" s="7">
        <f>+VLOOKUP(B5,data!$C$11:$Z$58,2,FALSE)</f>
        <v>118</v>
      </c>
      <c r="D5" s="7">
        <f>+VLOOKUP(B5,data!$C$11:$Z$58,3,FALSE)</f>
        <v>69</v>
      </c>
      <c r="E5" s="7">
        <f>+VLOOKUP(B5,data!$C$11:$Z$58,4,FALSE)</f>
        <v>145</v>
      </c>
      <c r="F5" s="7">
        <f>+VLOOKUP(B5,data!$C$11:$Z$58,5,FALSE)</f>
        <v>84</v>
      </c>
      <c r="G5" s="7">
        <f>AVERAGE(C5:F5)</f>
        <v>104</v>
      </c>
      <c r="H5" s="39"/>
      <c r="I5" s="40"/>
      <c r="J5" s="21">
        <f>+data!$C$4</f>
        <v>40</v>
      </c>
      <c r="K5" s="11">
        <v>1</v>
      </c>
      <c r="L5" s="23">
        <f>+VLOOKUP(B5,data!$C$11:$U$58,16,0)</f>
        <v>8.0000000000000002E-3</v>
      </c>
      <c r="M5" s="23">
        <f>+VLOOKUP(B5,data!$C$11:$U$58,17,0)</f>
        <v>6.7000000000000004E-2</v>
      </c>
      <c r="N5" s="23">
        <f>+VLOOKUP(B5,data!$C$11:$U$58,18,0)</f>
        <v>0.01</v>
      </c>
      <c r="O5" s="23">
        <f>+VLOOKUP(B5,data!$C$11:$U$58,19,0)</f>
        <v>2E-3</v>
      </c>
      <c r="P5" s="23">
        <f t="shared" ref="P5:P52" si="0">+AVERAGE(L5:O5)</f>
        <v>2.1750000000000002E-2</v>
      </c>
      <c r="Q5" s="23">
        <f>AVERAGE(L5:O5)</f>
        <v>2.1750000000000002E-2</v>
      </c>
      <c r="R5" s="11">
        <v>1</v>
      </c>
      <c r="S5" s="23">
        <f>+VLOOKUP(B5,data!$C$11:$AA$58,21,FALSE)</f>
        <v>0.91149999999999998</v>
      </c>
      <c r="T5" s="23">
        <f>VLOOKUP(B5,data!$C$11:$AA$58,22,FALSE)</f>
        <v>0.91100000000000003</v>
      </c>
      <c r="U5" s="23">
        <f>+VLOOKUP(B5,data!$C$11:$AA$58,23,FALSE)</f>
        <v>0.91549999999999998</v>
      </c>
      <c r="V5" s="23">
        <f>+VLOOKUP(B5,data!$C$11:$AA$58,24,FALSE)</f>
        <v>0.91559999999999997</v>
      </c>
      <c r="W5" s="23">
        <f>+AVERAGE(S5:V5)</f>
        <v>0.91339999999999999</v>
      </c>
    </row>
    <row r="6" spans="2:23" x14ac:dyDescent="0.25">
      <c r="B6" s="6">
        <v>2</v>
      </c>
      <c r="C6" s="7">
        <f>+VLOOKUP(B6,data!$C$11:$Z$58,2,FALSE)</f>
        <v>129</v>
      </c>
      <c r="D6" s="7">
        <f>+VLOOKUP(B6,data!$C$11:$Z$58,3,FALSE)</f>
        <v>126</v>
      </c>
      <c r="E6" s="7">
        <f>+VLOOKUP(B6,data!$C$11:$Z$58,4,FALSE)</f>
        <v>165</v>
      </c>
      <c r="F6" s="7">
        <f>+VLOOKUP(B6,data!$C$11:$Z$58,5,FALSE)</f>
        <v>124</v>
      </c>
      <c r="G6" s="7">
        <f t="shared" ref="G6:G52" si="1">AVERAGE(C6:F6)</f>
        <v>136</v>
      </c>
      <c r="H6" s="39"/>
      <c r="I6" s="40"/>
      <c r="J6" s="21">
        <f>+J5+1</f>
        <v>41</v>
      </c>
      <c r="K6" s="6">
        <v>2</v>
      </c>
      <c r="L6" s="23">
        <f>+VLOOKUP(B6,data!$C$11:$U$58,16,0)</f>
        <v>9.1999999999999998E-2</v>
      </c>
      <c r="M6" s="23">
        <f>+VLOOKUP(B6,data!$C$11:$U$58,17,0)</f>
        <v>7.2999999999999995E-2</v>
      </c>
      <c r="N6" s="23">
        <f>+VLOOKUP(B6,data!$C$11:$U$58,18,0)</f>
        <v>0.02</v>
      </c>
      <c r="O6" s="23">
        <f>+VLOOKUP(B6,data!$C$11:$U$58,19,0)</f>
        <v>5.8000000000000003E-2</v>
      </c>
      <c r="P6" s="23">
        <f t="shared" si="0"/>
        <v>6.0749999999999992E-2</v>
      </c>
      <c r="Q6" s="23">
        <f t="shared" ref="Q6:Q52" si="2">AVERAGE(L6:O6)</f>
        <v>6.0749999999999992E-2</v>
      </c>
      <c r="R6" s="6">
        <v>2</v>
      </c>
      <c r="S6" s="23">
        <f>+VLOOKUP(B6,data!$C$11:$AA$58,21,FALSE)</f>
        <v>0.91439999999999999</v>
      </c>
      <c r="T6" s="23">
        <f>VLOOKUP(B6,data!$C$11:$AA$58,22,FALSE)</f>
        <v>0.91610000000000003</v>
      </c>
      <c r="U6" s="23">
        <f>+VLOOKUP(B6,data!$C$11:$AA$58,23,FALSE)</f>
        <v>0.9173</v>
      </c>
      <c r="V6" s="23">
        <f>+VLOOKUP(B6,data!$C$11:$AA$58,24,FALSE)</f>
        <v>0.91049999999999998</v>
      </c>
      <c r="W6" s="23">
        <f t="shared" ref="W6:W52" si="3">+AVERAGE(S6:V6)</f>
        <v>0.91457499999999992</v>
      </c>
    </row>
    <row r="7" spans="2:23" x14ac:dyDescent="0.25">
      <c r="B7" s="6">
        <v>3</v>
      </c>
      <c r="C7" s="7">
        <f>+VLOOKUP(B7,data!$C$11:$Z$58,2,FALSE)</f>
        <v>167</v>
      </c>
      <c r="D7" s="7">
        <f>+VLOOKUP(B7,data!$C$11:$Z$58,3,FALSE)</f>
        <v>116</v>
      </c>
      <c r="E7" s="7">
        <f>+VLOOKUP(B7,data!$C$11:$Z$58,4,FALSE)</f>
        <v>103</v>
      </c>
      <c r="F7" s="7">
        <f>+VLOOKUP(B7,data!$C$11:$Z$58,5,FALSE)</f>
        <v>97</v>
      </c>
      <c r="G7" s="7">
        <f t="shared" si="1"/>
        <v>120.75</v>
      </c>
      <c r="H7" s="39"/>
      <c r="I7" s="40"/>
      <c r="J7" s="21">
        <f t="shared" ref="J7:J14" si="4">+J6+1</f>
        <v>42</v>
      </c>
      <c r="K7" s="6">
        <v>3</v>
      </c>
      <c r="L7" s="23">
        <f>+VLOOKUP(B7,data!$C$11:$U$58,16,0)</f>
        <v>1.7999999999999999E-2</v>
      </c>
      <c r="M7" s="23">
        <f>+VLOOKUP(B7,data!$C$11:$U$58,17,0)</f>
        <v>7.0000000000000001E-3</v>
      </c>
      <c r="N7" s="23">
        <f>+VLOOKUP(B7,data!$C$11:$U$58,18,0)</f>
        <v>1.2999999999999999E-2</v>
      </c>
      <c r="O7" s="23">
        <f>+VLOOKUP(B7,data!$C$11:$U$58,19,0)</f>
        <v>2.5999999999999999E-2</v>
      </c>
      <c r="P7" s="23">
        <f t="shared" si="0"/>
        <v>1.6E-2</v>
      </c>
      <c r="Q7" s="23">
        <f t="shared" si="2"/>
        <v>1.6E-2</v>
      </c>
      <c r="R7" s="6">
        <v>3</v>
      </c>
      <c r="S7" s="23">
        <f>+VLOOKUP(B7,data!$C$11:$AA$58,21,FALSE)</f>
        <v>0.9093</v>
      </c>
      <c r="T7" s="23">
        <f>VLOOKUP(B7,data!$C$11:$AA$58,22,FALSE)</f>
        <v>0.91879999999999995</v>
      </c>
      <c r="U7" s="23">
        <f>+VLOOKUP(B7,data!$C$11:$AA$58,23,FALSE)</f>
        <v>0.91759999999999997</v>
      </c>
      <c r="V7" s="23">
        <f>+VLOOKUP(B7,data!$C$11:$AA$58,24,FALSE)</f>
        <v>0.93</v>
      </c>
      <c r="W7" s="23">
        <f t="shared" si="3"/>
        <v>0.9189250000000001</v>
      </c>
    </row>
    <row r="8" spans="2:23" x14ac:dyDescent="0.25">
      <c r="B8" s="6">
        <v>4</v>
      </c>
      <c r="C8" s="7">
        <f>+VLOOKUP(B8,data!$C$11:$Z$58,2,FALSE)</f>
        <v>130</v>
      </c>
      <c r="D8" s="7">
        <f>+VLOOKUP(B8,data!$C$11:$Z$58,3,FALSE)</f>
        <v>131</v>
      </c>
      <c r="E8" s="7">
        <f>+VLOOKUP(B8,data!$C$11:$Z$58,4,FALSE)</f>
        <v>151</v>
      </c>
      <c r="F8" s="7">
        <f>+VLOOKUP(B8,data!$C$11:$Z$58,5,FALSE)</f>
        <v>106</v>
      </c>
      <c r="G8" s="7">
        <f t="shared" si="1"/>
        <v>129.5</v>
      </c>
      <c r="H8" s="39"/>
      <c r="I8" s="40"/>
      <c r="J8" s="21">
        <f t="shared" si="4"/>
        <v>43</v>
      </c>
      <c r="K8" s="6">
        <v>4</v>
      </c>
      <c r="L8" s="23">
        <f>+VLOOKUP(B8,data!$C$11:$U$58,16,0)</f>
        <v>3.4000000000000002E-2</v>
      </c>
      <c r="M8" s="23">
        <f>+VLOOKUP(B8,data!$C$11:$U$58,17,0)</f>
        <v>3.6999999999999998E-2</v>
      </c>
      <c r="N8" s="23">
        <f>+VLOOKUP(B8,data!$C$11:$U$58,18,0)</f>
        <v>4.5999999999999999E-2</v>
      </c>
      <c r="O8" s="23">
        <f>+VLOOKUP(B8,data!$C$11:$U$58,19,0)</f>
        <v>9.1999999999999998E-2</v>
      </c>
      <c r="P8" s="23">
        <f t="shared" si="0"/>
        <v>5.2250000000000005E-2</v>
      </c>
      <c r="Q8" s="23">
        <f t="shared" si="2"/>
        <v>5.2250000000000005E-2</v>
      </c>
      <c r="R8" s="6">
        <v>4</v>
      </c>
      <c r="S8" s="23">
        <f>+VLOOKUP(B8,data!$C$11:$AA$58,21,FALSE)</f>
        <v>0.9093</v>
      </c>
      <c r="T8" s="23">
        <f>VLOOKUP(B8,data!$C$11:$AA$58,22,FALSE)</f>
        <v>0.91710000000000003</v>
      </c>
      <c r="U8" s="23">
        <f>+VLOOKUP(B8,data!$C$11:$AA$58,23,FALSE)</f>
        <v>0.91759999999999997</v>
      </c>
      <c r="V8" s="23">
        <f>+VLOOKUP(B8,data!$C$11:$AA$58,24,FALSE)</f>
        <v>0.91049999999999998</v>
      </c>
      <c r="W8" s="23">
        <f t="shared" si="3"/>
        <v>0.91362499999999991</v>
      </c>
    </row>
    <row r="9" spans="2:23" x14ac:dyDescent="0.25">
      <c r="B9" s="6">
        <v>5</v>
      </c>
      <c r="C9" s="7">
        <f>+VLOOKUP(B9,data!$C$11:$Z$58,2,FALSE)</f>
        <v>145</v>
      </c>
      <c r="D9" s="7">
        <f>+VLOOKUP(B9,data!$C$11:$Z$58,3,FALSE)</f>
        <v>118</v>
      </c>
      <c r="E9" s="7">
        <f>+VLOOKUP(B9,data!$C$11:$Z$58,4,FALSE)</f>
        <v>71</v>
      </c>
      <c r="F9" s="7">
        <f>+VLOOKUP(B9,data!$C$11:$Z$58,5,FALSE)</f>
        <v>88</v>
      </c>
      <c r="G9" s="7">
        <f t="shared" si="1"/>
        <v>105.5</v>
      </c>
      <c r="H9" s="39"/>
      <c r="I9" s="40"/>
      <c r="J9" s="21">
        <f t="shared" si="4"/>
        <v>44</v>
      </c>
      <c r="K9" s="6">
        <v>5</v>
      </c>
      <c r="L9" s="23">
        <f>+VLOOKUP(B9,data!$C$11:$U$58,16,0)</f>
        <v>2.5999999999999999E-2</v>
      </c>
      <c r="M9" s="23">
        <f>+VLOOKUP(B9,data!$C$11:$U$58,17,0)</f>
        <v>7.0999999999999994E-2</v>
      </c>
      <c r="N9" s="23">
        <f>+VLOOKUP(B9,data!$C$11:$U$58,18,0)</f>
        <v>1.7000000000000001E-2</v>
      </c>
      <c r="O9" s="23">
        <f>+VLOOKUP(B9,data!$C$11:$U$58,19,0)</f>
        <v>2.4E-2</v>
      </c>
      <c r="P9" s="23">
        <f t="shared" si="0"/>
        <v>3.4499999999999996E-2</v>
      </c>
      <c r="Q9" s="23">
        <f t="shared" si="2"/>
        <v>3.4499999999999996E-2</v>
      </c>
      <c r="R9" s="6">
        <v>5</v>
      </c>
      <c r="S9" s="23">
        <f>+VLOOKUP(B9,data!$C$11:$AA$58,21,FALSE)</f>
        <v>0.91810000000000003</v>
      </c>
      <c r="T9" s="23">
        <f>VLOOKUP(B9,data!$C$11:$AA$58,22,FALSE)</f>
        <v>0.91069999999999995</v>
      </c>
      <c r="U9" s="23">
        <f>+VLOOKUP(B9,data!$C$11:$AA$58,23,FALSE)</f>
        <v>0.91500000000000004</v>
      </c>
      <c r="V9" s="23">
        <f>+VLOOKUP(B9,data!$C$11:$AA$58,24,FALSE)</f>
        <v>0.91869999999999996</v>
      </c>
      <c r="W9" s="23">
        <f t="shared" si="3"/>
        <v>0.91562500000000002</v>
      </c>
    </row>
    <row r="10" spans="2:23" x14ac:dyDescent="0.25">
      <c r="B10" s="6">
        <v>6</v>
      </c>
      <c r="C10" s="7">
        <f>+VLOOKUP(B10,data!$C$11:$Z$58,2,FALSE)</f>
        <v>107</v>
      </c>
      <c r="D10" s="7">
        <f>+VLOOKUP(B10,data!$C$11:$Z$58,3,FALSE)</f>
        <v>97</v>
      </c>
      <c r="E10" s="7">
        <f>+VLOOKUP(B10,data!$C$11:$Z$58,4,FALSE)</f>
        <v>163</v>
      </c>
      <c r="F10" s="7">
        <f>+VLOOKUP(B10,data!$C$11:$Z$58,5,FALSE)</f>
        <v>161</v>
      </c>
      <c r="G10" s="7">
        <f t="shared" si="1"/>
        <v>132</v>
      </c>
      <c r="H10" s="39"/>
      <c r="I10" s="40"/>
      <c r="J10" s="21">
        <f t="shared" si="4"/>
        <v>45</v>
      </c>
      <c r="K10" s="6">
        <v>6</v>
      </c>
      <c r="L10" s="23">
        <f>+VLOOKUP(B10,data!$C$11:$U$58,16,0)</f>
        <v>2.1000000000000001E-2</v>
      </c>
      <c r="M10" s="23">
        <f>+VLOOKUP(B10,data!$C$11:$U$58,17,0)</f>
        <v>2.5000000000000001E-2</v>
      </c>
      <c r="N10" s="23">
        <f>+VLOOKUP(B10,data!$C$11:$U$58,18,0)</f>
        <v>8.1000000000000003E-2</v>
      </c>
      <c r="O10" s="23">
        <f>+VLOOKUP(B10,data!$C$11:$U$58,19,0)</f>
        <v>3.7999999999999999E-2</v>
      </c>
      <c r="P10" s="23">
        <f t="shared" si="0"/>
        <v>4.1250000000000002E-2</v>
      </c>
      <c r="Q10" s="23">
        <f t="shared" si="2"/>
        <v>4.1250000000000002E-2</v>
      </c>
      <c r="R10" s="6">
        <v>6</v>
      </c>
      <c r="S10" s="23">
        <f>+VLOOKUP(B10,data!$C$11:$AA$58,21,FALSE)</f>
        <v>0.9103</v>
      </c>
      <c r="T10" s="23">
        <f>VLOOKUP(B10,data!$C$11:$AA$58,22,FALSE)</f>
        <v>0.91180000000000005</v>
      </c>
      <c r="U10" s="23">
        <f>+VLOOKUP(B10,data!$C$11:$AA$58,23,FALSE)</f>
        <v>0.90990000000000004</v>
      </c>
      <c r="V10" s="23">
        <f>+VLOOKUP(B10,data!$C$11:$AA$58,24,FALSE)</f>
        <v>0.91510000000000002</v>
      </c>
      <c r="W10" s="23">
        <f t="shared" si="3"/>
        <v>0.911775</v>
      </c>
    </row>
    <row r="11" spans="2:23" x14ac:dyDescent="0.25">
      <c r="B11" s="6">
        <v>7</v>
      </c>
      <c r="C11" s="7">
        <f>+VLOOKUP(B11,data!$C$11:$Z$58,2,FALSE)</f>
        <v>69</v>
      </c>
      <c r="D11" s="7">
        <f>+VLOOKUP(B11,data!$C$11:$Z$58,3,FALSE)</f>
        <v>88</v>
      </c>
      <c r="E11" s="7">
        <f>+VLOOKUP(B11,data!$C$11:$Z$58,4,FALSE)</f>
        <v>168</v>
      </c>
      <c r="F11" s="7">
        <f>+VLOOKUP(B11,data!$C$11:$Z$58,5,FALSE)</f>
        <v>85</v>
      </c>
      <c r="G11" s="7">
        <f t="shared" si="1"/>
        <v>102.5</v>
      </c>
      <c r="H11" s="39"/>
      <c r="I11" s="40"/>
      <c r="J11" s="21">
        <f t="shared" si="4"/>
        <v>46</v>
      </c>
      <c r="K11" s="6">
        <v>7</v>
      </c>
      <c r="L11" s="23">
        <f>+VLOOKUP(B11,data!$C$11:$U$58,16,0)</f>
        <v>7.3999999999999996E-2</v>
      </c>
      <c r="M11" s="23">
        <f>+VLOOKUP(B11,data!$C$11:$U$58,17,0)</f>
        <v>5.0000000000000001E-3</v>
      </c>
      <c r="N11" s="23">
        <f>+VLOOKUP(B11,data!$C$11:$U$58,18,0)</f>
        <v>4.7E-2</v>
      </c>
      <c r="O11" s="23">
        <f>+VLOOKUP(B11,data!$C$11:$U$58,19,0)</f>
        <v>3.9E-2</v>
      </c>
      <c r="P11" s="23">
        <f t="shared" si="0"/>
        <v>4.1250000000000002E-2</v>
      </c>
      <c r="Q11" s="23">
        <f t="shared" si="2"/>
        <v>4.1250000000000002E-2</v>
      </c>
      <c r="R11" s="6">
        <v>7</v>
      </c>
      <c r="S11" s="23">
        <f>+VLOOKUP(B11,data!$C$11:$AA$58,21,FALSE)</f>
        <v>0.90959999999999996</v>
      </c>
      <c r="T11" s="23">
        <f>VLOOKUP(B11,data!$C$11:$AA$58,22,FALSE)</f>
        <v>0.91669999999999996</v>
      </c>
      <c r="U11" s="23">
        <f>+VLOOKUP(B11,data!$C$11:$AA$58,23,FALSE)</f>
        <v>0.91720000000000002</v>
      </c>
      <c r="V11" s="23">
        <f>+VLOOKUP(B11,data!$C$11:$AA$58,24,FALSE)</f>
        <v>0.91720000000000002</v>
      </c>
      <c r="W11" s="23">
        <f t="shared" si="3"/>
        <v>0.91517500000000007</v>
      </c>
    </row>
    <row r="12" spans="2:23" x14ac:dyDescent="0.25">
      <c r="B12" s="6">
        <v>8</v>
      </c>
      <c r="C12" s="7">
        <f>+VLOOKUP(B12,data!$C$11:$Z$58,2,FALSE)</f>
        <v>163</v>
      </c>
      <c r="D12" s="7">
        <f>+VLOOKUP(B12,data!$C$11:$Z$58,3,FALSE)</f>
        <v>147</v>
      </c>
      <c r="E12" s="7">
        <f>+VLOOKUP(B12,data!$C$11:$Z$58,4,FALSE)</f>
        <v>109</v>
      </c>
      <c r="F12" s="7">
        <f>+VLOOKUP(B12,data!$C$11:$Z$58,5,FALSE)</f>
        <v>94</v>
      </c>
      <c r="G12" s="7">
        <f t="shared" si="1"/>
        <v>128.25</v>
      </c>
      <c r="H12" s="39"/>
      <c r="I12" s="40"/>
      <c r="J12" s="21">
        <f t="shared" si="4"/>
        <v>47</v>
      </c>
      <c r="K12" s="6">
        <v>8</v>
      </c>
      <c r="L12" s="23">
        <f>+VLOOKUP(B12,data!$C$11:$U$58,16,0)</f>
        <v>5.1999999999999998E-2</v>
      </c>
      <c r="M12" s="23">
        <f>+VLOOKUP(B12,data!$C$11:$U$58,17,0)</f>
        <v>1.2E-2</v>
      </c>
      <c r="N12" s="23">
        <f>+VLOOKUP(B12,data!$C$11:$U$58,18,0)</f>
        <v>0.05</v>
      </c>
      <c r="O12" s="23">
        <f>+VLOOKUP(B12,data!$C$11:$U$58,19,0)</f>
        <v>7.0999999999999994E-2</v>
      </c>
      <c r="P12" s="23">
        <f t="shared" si="0"/>
        <v>4.6249999999999999E-2</v>
      </c>
      <c r="Q12" s="23">
        <f t="shared" si="2"/>
        <v>4.6249999999999999E-2</v>
      </c>
      <c r="R12" s="6">
        <v>8</v>
      </c>
      <c r="S12" s="23">
        <f>+VLOOKUP(B12,data!$C$11:$AA$58,21,FALSE)</f>
        <v>0.9123</v>
      </c>
      <c r="T12" s="23">
        <f>VLOOKUP(B12,data!$C$11:$AA$58,22,FALSE)</f>
        <v>0.91839999999999999</v>
      </c>
      <c r="U12" s="23">
        <f>+VLOOKUP(B12,data!$C$11:$AA$58,23,FALSE)</f>
        <v>0.91279999999999994</v>
      </c>
      <c r="V12" s="23">
        <f>+VLOOKUP(B12,data!$C$11:$AA$58,24,FALSE)</f>
        <v>0.91259999999999997</v>
      </c>
      <c r="W12" s="23">
        <f t="shared" si="3"/>
        <v>0.91402499999999998</v>
      </c>
    </row>
    <row r="13" spans="2:23" x14ac:dyDescent="0.25">
      <c r="B13" s="6">
        <v>9</v>
      </c>
      <c r="C13" s="7">
        <f>+VLOOKUP(B13,data!$C$11:$Z$58,2,FALSE)</f>
        <v>86</v>
      </c>
      <c r="D13" s="7">
        <f>+VLOOKUP(B13,data!$C$11:$Z$58,3,FALSE)</f>
        <v>66</v>
      </c>
      <c r="E13" s="7">
        <f>+VLOOKUP(B13,data!$C$11:$Z$58,4,FALSE)</f>
        <v>78</v>
      </c>
      <c r="F13" s="7">
        <f>+VLOOKUP(B13,data!$C$11:$Z$58,5,FALSE)</f>
        <v>117</v>
      </c>
      <c r="G13" s="7">
        <f t="shared" si="1"/>
        <v>86.75</v>
      </c>
      <c r="H13" s="39"/>
      <c r="I13" s="40"/>
      <c r="J13" s="21">
        <f t="shared" si="4"/>
        <v>48</v>
      </c>
      <c r="K13" s="6">
        <v>9</v>
      </c>
      <c r="L13" s="23">
        <f>+VLOOKUP(B13,data!$C$11:$U$58,16,0)</f>
        <v>3.7999999999999999E-2</v>
      </c>
      <c r="M13" s="23">
        <f>+VLOOKUP(B13,data!$C$11:$U$58,17,0)</f>
        <v>3.3000000000000002E-2</v>
      </c>
      <c r="N13" s="23">
        <f>+VLOOKUP(B13,data!$C$11:$U$58,18,0)</f>
        <v>4.7E-2</v>
      </c>
      <c r="O13" s="23">
        <f>+VLOOKUP(B13,data!$C$11:$U$58,19,0)</f>
        <v>1.4E-2</v>
      </c>
      <c r="P13" s="23">
        <f t="shared" si="0"/>
        <v>3.3000000000000002E-2</v>
      </c>
      <c r="Q13" s="23">
        <f t="shared" si="2"/>
        <v>3.3000000000000002E-2</v>
      </c>
      <c r="R13" s="6">
        <v>9</v>
      </c>
      <c r="S13" s="23">
        <f>+VLOOKUP(B13,data!$C$11:$AA$58,21,FALSE)</f>
        <v>0.9143</v>
      </c>
      <c r="T13" s="23">
        <f>VLOOKUP(B13,data!$C$11:$AA$58,22,FALSE)</f>
        <v>0.91249999999999998</v>
      </c>
      <c r="U13" s="23">
        <f>+VLOOKUP(B13,data!$C$11:$AA$58,23,FALSE)</f>
        <v>0.91710000000000003</v>
      </c>
      <c r="V13" s="23">
        <f>+VLOOKUP(B13,data!$C$11:$AA$58,24,FALSE)</f>
        <v>0.91210000000000002</v>
      </c>
      <c r="W13" s="23">
        <f t="shared" si="3"/>
        <v>0.91400000000000003</v>
      </c>
    </row>
    <row r="14" spans="2:23" x14ac:dyDescent="0.25">
      <c r="B14" s="6">
        <v>10</v>
      </c>
      <c r="C14" s="7">
        <f>+VLOOKUP(B14,data!$C$11:$Z$58,2,FALSE)</f>
        <v>115</v>
      </c>
      <c r="D14" s="7">
        <f>+VLOOKUP(B14,data!$C$11:$Z$58,3,FALSE)</f>
        <v>69</v>
      </c>
      <c r="E14" s="7">
        <f>+VLOOKUP(B14,data!$C$11:$Z$58,4,FALSE)</f>
        <v>151</v>
      </c>
      <c r="F14" s="7">
        <f>+VLOOKUP(B14,data!$C$11:$Z$58,5,FALSE)</f>
        <v>140</v>
      </c>
      <c r="G14" s="7">
        <f t="shared" si="1"/>
        <v>118.75</v>
      </c>
      <c r="H14" s="39"/>
      <c r="I14" s="40"/>
      <c r="J14" s="21">
        <f t="shared" si="4"/>
        <v>49</v>
      </c>
      <c r="K14" s="6">
        <v>10</v>
      </c>
      <c r="L14" s="23">
        <f>+VLOOKUP(B14,data!$C$11:$U$58,16,0)</f>
        <v>7.2999999999999995E-2</v>
      </c>
      <c r="M14" s="23">
        <f>+VLOOKUP(B14,data!$C$11:$U$58,17,0)</f>
        <v>6.7000000000000004E-2</v>
      </c>
      <c r="N14" s="23">
        <f>+VLOOKUP(B14,data!$C$11:$U$58,18,0)</f>
        <v>6.3E-2</v>
      </c>
      <c r="O14" s="23">
        <f>+VLOOKUP(B14,data!$C$11:$U$58,19,0)</f>
        <v>1.7999999999999999E-2</v>
      </c>
      <c r="P14" s="23">
        <f t="shared" si="0"/>
        <v>5.525E-2</v>
      </c>
      <c r="Q14" s="23">
        <f t="shared" si="2"/>
        <v>5.525E-2</v>
      </c>
      <c r="R14" s="6">
        <v>10</v>
      </c>
      <c r="S14" s="23">
        <f>+VLOOKUP(B14,data!$C$11:$AA$58,21,FALSE)</f>
        <v>0.91290000000000004</v>
      </c>
      <c r="T14" s="23">
        <f>VLOOKUP(B14,data!$C$11:$AA$58,22,FALSE)</f>
        <v>0.91759999999999997</v>
      </c>
      <c r="U14" s="23">
        <f>+VLOOKUP(B14,data!$C$11:$AA$58,23,FALSE)</f>
        <v>0.91910000000000003</v>
      </c>
      <c r="V14" s="23">
        <f>+VLOOKUP(B14,data!$C$11:$AA$58,24,FALSE)</f>
        <v>0.92</v>
      </c>
      <c r="W14" s="23">
        <f t="shared" si="3"/>
        <v>0.91739999999999999</v>
      </c>
    </row>
    <row r="15" spans="2:23" x14ac:dyDescent="0.25">
      <c r="B15" s="6">
        <v>11</v>
      </c>
      <c r="C15" s="7">
        <f>+VLOOKUP(B15,data!$C$11:$Z$58,2,FALSE)</f>
        <v>124</v>
      </c>
      <c r="D15" s="7">
        <f>+VLOOKUP(B15,data!$C$11:$Z$58,3,FALSE)</f>
        <v>149</v>
      </c>
      <c r="E15" s="7">
        <f>+VLOOKUP(B15,data!$C$11:$Z$58,4,FALSE)</f>
        <v>121</v>
      </c>
      <c r="F15" s="7">
        <f>+VLOOKUP(B15,data!$C$11:$Z$58,5,FALSE)</f>
        <v>142</v>
      </c>
      <c r="G15" s="7">
        <f t="shared" si="1"/>
        <v>134</v>
      </c>
      <c r="K15" s="6">
        <v>11</v>
      </c>
      <c r="L15" s="23">
        <f>+VLOOKUP(B15,data!$C$11:$U$58,16,0)</f>
        <v>6.4000000000000001E-2</v>
      </c>
      <c r="M15" s="23">
        <f>+VLOOKUP(B15,data!$C$11:$U$58,17,0)</f>
        <v>6.6000000000000003E-2</v>
      </c>
      <c r="N15" s="23">
        <f>+VLOOKUP(B15,data!$C$11:$U$58,18,0)</f>
        <v>8.1000000000000003E-2</v>
      </c>
      <c r="O15" s="23">
        <f>+VLOOKUP(B15,data!$C$11:$U$58,19,0)</f>
        <v>7.0000000000000007E-2</v>
      </c>
      <c r="P15" s="23">
        <f t="shared" si="0"/>
        <v>7.0250000000000007E-2</v>
      </c>
      <c r="Q15" s="23">
        <f t="shared" si="2"/>
        <v>7.0250000000000007E-2</v>
      </c>
      <c r="R15" s="6">
        <v>11</v>
      </c>
      <c r="S15" s="23">
        <f>+VLOOKUP(B15,data!$C$11:$AA$58,21,FALSE)</f>
        <v>0.91220000000000001</v>
      </c>
      <c r="T15" s="23">
        <f>VLOOKUP(B15,data!$C$11:$AA$58,22,FALSE)</f>
        <v>0.91749999999999998</v>
      </c>
      <c r="U15" s="23">
        <f>+VLOOKUP(B15,data!$C$11:$AA$58,23,FALSE)</f>
        <v>0.91600000000000004</v>
      </c>
      <c r="V15" s="23">
        <f>+VLOOKUP(B15,data!$C$11:$AA$58,24,FALSE)</f>
        <v>0.91749999999999998</v>
      </c>
      <c r="W15" s="23">
        <f t="shared" si="3"/>
        <v>0.91579999999999995</v>
      </c>
    </row>
    <row r="16" spans="2:23" ht="15" thickBot="1" x14ac:dyDescent="0.3">
      <c r="B16" s="15">
        <v>12</v>
      </c>
      <c r="C16" s="7">
        <f>+VLOOKUP(B16,data!$C$11:$Z$58,2,FALSE)</f>
        <v>144</v>
      </c>
      <c r="D16" s="7">
        <f>+VLOOKUP(B16,data!$C$11:$Z$58,3,FALSE)</f>
        <v>80</v>
      </c>
      <c r="E16" s="7">
        <f>+VLOOKUP(B16,data!$C$11:$Z$58,4,FALSE)</f>
        <v>101</v>
      </c>
      <c r="F16" s="7">
        <f>+VLOOKUP(B16,data!$C$11:$Z$58,5,FALSE)</f>
        <v>138</v>
      </c>
      <c r="G16" s="7">
        <f t="shared" si="1"/>
        <v>115.75</v>
      </c>
      <c r="K16" s="15">
        <v>12</v>
      </c>
      <c r="L16" s="23">
        <f>+VLOOKUP(B16,data!$C$11:$U$58,16,0)</f>
        <v>3.1E-2</v>
      </c>
      <c r="M16" s="23">
        <f>+VLOOKUP(B16,data!$C$11:$U$58,17,0)</f>
        <v>9.2999999999999999E-2</v>
      </c>
      <c r="N16" s="23">
        <f>+VLOOKUP(B16,data!$C$11:$U$58,18,0)</f>
        <v>6.3E-2</v>
      </c>
      <c r="O16" s="23">
        <f>+VLOOKUP(B16,data!$C$11:$U$58,19,0)</f>
        <v>5.3999999999999999E-2</v>
      </c>
      <c r="P16" s="23">
        <f t="shared" si="0"/>
        <v>6.0249999999999998E-2</v>
      </c>
      <c r="Q16" s="23">
        <f t="shared" si="2"/>
        <v>6.0249999999999998E-2</v>
      </c>
      <c r="R16" s="15">
        <v>12</v>
      </c>
      <c r="S16" s="23">
        <f>+VLOOKUP(B16,data!$C$11:$AA$58,21,FALSE)</f>
        <v>0.9163</v>
      </c>
      <c r="T16" s="23">
        <f>VLOOKUP(B16,data!$C$11:$AA$58,22,FALSE)</f>
        <v>0.91139999999999999</v>
      </c>
      <c r="U16" s="23">
        <f>+VLOOKUP(B16,data!$C$11:$AA$58,23,FALSE)</f>
        <v>0.91310000000000002</v>
      </c>
      <c r="V16" s="23">
        <f>+VLOOKUP(B16,data!$C$11:$AA$58,24,FALSE)</f>
        <v>0.91439999999999999</v>
      </c>
      <c r="W16" s="23">
        <f t="shared" si="3"/>
        <v>0.91380000000000006</v>
      </c>
    </row>
    <row r="17" spans="2:23" x14ac:dyDescent="0.25">
      <c r="B17" s="11">
        <v>13</v>
      </c>
      <c r="C17" s="7">
        <f>+VLOOKUP(B17,data!$C$11:$Z$58,2,FALSE)</f>
        <v>110</v>
      </c>
      <c r="D17" s="7">
        <f>+VLOOKUP(B17,data!$C$11:$Z$58,3,FALSE)</f>
        <v>69</v>
      </c>
      <c r="E17" s="7">
        <f>+VLOOKUP(B17,data!$C$11:$Z$58,4,FALSE)</f>
        <v>112</v>
      </c>
      <c r="F17" s="7">
        <f>+VLOOKUP(B17,data!$C$11:$Z$58,5,FALSE)</f>
        <v>163</v>
      </c>
      <c r="G17" s="7">
        <f t="shared" si="1"/>
        <v>113.5</v>
      </c>
      <c r="K17" s="11">
        <v>13</v>
      </c>
      <c r="L17" s="23">
        <f>+VLOOKUP(B17,data!$C$11:$U$58,16,0)</f>
        <v>0.08</v>
      </c>
      <c r="M17" s="23">
        <f>+VLOOKUP(B17,data!$C$11:$U$58,17,0)</f>
        <v>0.09</v>
      </c>
      <c r="N17" s="23">
        <f>+VLOOKUP(B17,data!$C$11:$U$58,18,0)</f>
        <v>2.3E-2</v>
      </c>
      <c r="O17" s="23">
        <f>+VLOOKUP(B17,data!$C$11:$U$58,19,0)</f>
        <v>6.0999999999999999E-2</v>
      </c>
      <c r="P17" s="23">
        <f t="shared" si="0"/>
        <v>6.3500000000000001E-2</v>
      </c>
      <c r="Q17" s="23">
        <f t="shared" si="2"/>
        <v>6.3500000000000001E-2</v>
      </c>
      <c r="R17" s="11">
        <v>13</v>
      </c>
      <c r="S17" s="23">
        <f>+VLOOKUP(B17,data!$C$11:$AA$58,21,FALSE)</f>
        <v>0.9123</v>
      </c>
      <c r="T17" s="23">
        <f>VLOOKUP(B17,data!$C$11:$AA$58,22,FALSE)</f>
        <v>0.91500000000000004</v>
      </c>
      <c r="U17" s="23">
        <f>+VLOOKUP(B17,data!$C$11:$AA$58,23,FALSE)</f>
        <v>0.91749999999999998</v>
      </c>
      <c r="V17" s="23">
        <f>+VLOOKUP(B17,data!$C$11:$AA$58,24,FALSE)</f>
        <v>0.94</v>
      </c>
      <c r="W17" s="23">
        <f t="shared" si="3"/>
        <v>0.92120000000000002</v>
      </c>
    </row>
    <row r="18" spans="2:23" x14ac:dyDescent="0.25">
      <c r="B18" s="6">
        <v>14</v>
      </c>
      <c r="C18" s="7">
        <f>+VLOOKUP(B18,data!$C$11:$Z$58,2,FALSE)</f>
        <v>141</v>
      </c>
      <c r="D18" s="7">
        <f>+VLOOKUP(B18,data!$C$11:$Z$58,3,FALSE)</f>
        <v>83</v>
      </c>
      <c r="E18" s="7">
        <f>+VLOOKUP(B18,data!$C$11:$Z$58,4,FALSE)</f>
        <v>169</v>
      </c>
      <c r="F18" s="7">
        <f>+VLOOKUP(B18,data!$C$11:$Z$58,5,FALSE)</f>
        <v>166</v>
      </c>
      <c r="G18" s="7">
        <f t="shared" si="1"/>
        <v>139.75</v>
      </c>
      <c r="K18" s="6">
        <v>14</v>
      </c>
      <c r="L18" s="23">
        <f>+VLOOKUP(B18,data!$C$11:$U$58,16,0)</f>
        <v>7.3999999999999996E-2</v>
      </c>
      <c r="M18" s="23">
        <f>+VLOOKUP(B18,data!$C$11:$U$58,17,0)</f>
        <v>6.7000000000000004E-2</v>
      </c>
      <c r="N18" s="23">
        <f>+VLOOKUP(B18,data!$C$11:$U$58,18,0)</f>
        <v>2.3E-2</v>
      </c>
      <c r="O18" s="23">
        <f>+VLOOKUP(B18,data!$C$11:$U$58,19,0)</f>
        <v>2.9000000000000001E-2</v>
      </c>
      <c r="P18" s="23">
        <f t="shared" si="0"/>
        <v>4.8250000000000001E-2</v>
      </c>
      <c r="Q18" s="23">
        <f t="shared" si="2"/>
        <v>4.8250000000000001E-2</v>
      </c>
      <c r="R18" s="6">
        <v>14</v>
      </c>
      <c r="S18" s="23">
        <f>+VLOOKUP(B18,data!$C$11:$AA$58,21,FALSE)</f>
        <v>0.91090000000000004</v>
      </c>
      <c r="T18" s="23">
        <f>VLOOKUP(B18,data!$C$11:$AA$58,22,FALSE)</f>
        <v>0.91900000000000004</v>
      </c>
      <c r="U18" s="23">
        <f>+VLOOKUP(B18,data!$C$11:$AA$58,23,FALSE)</f>
        <v>0.90939999999999999</v>
      </c>
      <c r="V18" s="23">
        <f>+VLOOKUP(B18,data!$C$11:$AA$58,24,FALSE)</f>
        <v>0.91369999999999996</v>
      </c>
      <c r="W18" s="23">
        <f t="shared" si="3"/>
        <v>0.91325000000000001</v>
      </c>
    </row>
    <row r="19" spans="2:23" x14ac:dyDescent="0.25">
      <c r="B19" s="6">
        <v>15</v>
      </c>
      <c r="C19" s="7">
        <f>+VLOOKUP(B19,data!$C$11:$Z$58,2,FALSE)</f>
        <v>91</v>
      </c>
      <c r="D19" s="7">
        <f>+VLOOKUP(B19,data!$C$11:$Z$58,3,FALSE)</f>
        <v>96</v>
      </c>
      <c r="E19" s="7">
        <f>+VLOOKUP(B19,data!$C$11:$Z$58,4,FALSE)</f>
        <v>109</v>
      </c>
      <c r="F19" s="7">
        <f>+VLOOKUP(B19,data!$C$11:$Z$58,5,FALSE)</f>
        <v>112</v>
      </c>
      <c r="G19" s="7">
        <f t="shared" si="1"/>
        <v>102</v>
      </c>
      <c r="K19" s="6">
        <v>15</v>
      </c>
      <c r="L19" s="23">
        <f>+VLOOKUP(B19,data!$C$11:$U$58,16,0)</f>
        <v>3.0000000000000001E-3</v>
      </c>
      <c r="M19" s="23">
        <f>+VLOOKUP(B19,data!$C$11:$U$58,17,0)</f>
        <v>9.8000000000000004E-2</v>
      </c>
      <c r="N19" s="23">
        <f>+VLOOKUP(B19,data!$C$11:$U$58,18,0)</f>
        <v>5.0000000000000001E-3</v>
      </c>
      <c r="O19" s="23">
        <f>+VLOOKUP(B19,data!$C$11:$U$58,19,0)</f>
        <v>8.0000000000000002E-3</v>
      </c>
      <c r="P19" s="23">
        <f t="shared" si="0"/>
        <v>2.8500000000000004E-2</v>
      </c>
      <c r="Q19" s="23">
        <f t="shared" si="2"/>
        <v>2.8500000000000004E-2</v>
      </c>
      <c r="R19" s="6">
        <v>15</v>
      </c>
      <c r="S19" s="23">
        <f>+VLOOKUP(B19,data!$C$11:$AA$58,21,FALSE)</f>
        <v>0.91359999999999997</v>
      </c>
      <c r="T19" s="23">
        <f>VLOOKUP(B19,data!$C$11:$AA$58,22,FALSE)</f>
        <v>0.91649999999999998</v>
      </c>
      <c r="U19" s="23">
        <f>+VLOOKUP(B19,data!$C$11:$AA$58,23,FALSE)</f>
        <v>0.91859999999999997</v>
      </c>
      <c r="V19" s="23">
        <f>+VLOOKUP(B19,data!$C$11:$AA$58,24,FALSE)</f>
        <v>0.91400000000000003</v>
      </c>
      <c r="W19" s="23">
        <f t="shared" si="3"/>
        <v>0.91567500000000002</v>
      </c>
    </row>
    <row r="20" spans="2:23" x14ac:dyDescent="0.25">
      <c r="B20" s="6">
        <v>16</v>
      </c>
      <c r="C20" s="7">
        <f>+VLOOKUP(B20,data!$C$11:$Z$58,2,FALSE)</f>
        <v>83</v>
      </c>
      <c r="D20" s="7">
        <f>+VLOOKUP(B20,data!$C$11:$Z$58,3,FALSE)</f>
        <v>98</v>
      </c>
      <c r="E20" s="7">
        <f>+VLOOKUP(B20,data!$C$11:$Z$58,4,FALSE)</f>
        <v>82</v>
      </c>
      <c r="F20" s="7">
        <f>+VLOOKUP(B20,data!$C$11:$Z$58,5,FALSE)</f>
        <v>80</v>
      </c>
      <c r="G20" s="7">
        <f t="shared" si="1"/>
        <v>85.75</v>
      </c>
      <c r="K20" s="6">
        <v>16</v>
      </c>
      <c r="L20" s="23">
        <f>+VLOOKUP(B20,data!$C$11:$U$58,16,0)</f>
        <v>1.4E-2</v>
      </c>
      <c r="M20" s="23">
        <f>+VLOOKUP(B20,data!$C$11:$U$58,17,0)</f>
        <v>8.2000000000000003E-2</v>
      </c>
      <c r="N20" s="23">
        <f>+VLOOKUP(B20,data!$C$11:$U$58,18,0)</f>
        <v>0.09</v>
      </c>
      <c r="O20" s="23">
        <f>+VLOOKUP(B20,data!$C$11:$U$58,19,0)</f>
        <v>4.9000000000000002E-2</v>
      </c>
      <c r="P20" s="23">
        <f t="shared" si="0"/>
        <v>5.8749999999999997E-2</v>
      </c>
      <c r="Q20" s="23">
        <f t="shared" si="2"/>
        <v>5.8749999999999997E-2</v>
      </c>
      <c r="R20" s="6">
        <v>16</v>
      </c>
      <c r="S20" s="23">
        <f>+VLOOKUP(B20,data!$C$11:$AA$58,21,FALSE)</f>
        <v>0.91220000000000001</v>
      </c>
      <c r="T20" s="23">
        <f>VLOOKUP(B20,data!$C$11:$AA$58,22,FALSE)</f>
        <v>0.91249999999999998</v>
      </c>
      <c r="U20" s="23">
        <f>+VLOOKUP(B20,data!$C$11:$AA$58,23,FALSE)</f>
        <v>0.91059999999999997</v>
      </c>
      <c r="V20" s="23">
        <f>+VLOOKUP(B20,data!$C$11:$AA$58,24,FALSE)</f>
        <v>0.90920000000000001</v>
      </c>
      <c r="W20" s="23">
        <f t="shared" si="3"/>
        <v>0.91112499999999996</v>
      </c>
    </row>
    <row r="21" spans="2:23" x14ac:dyDescent="0.25">
      <c r="B21" s="6">
        <v>17</v>
      </c>
      <c r="C21" s="7">
        <f>+VLOOKUP(B21,data!$C$11:$Z$58,2,FALSE)</f>
        <v>91</v>
      </c>
      <c r="D21" s="7">
        <f>+VLOOKUP(B21,data!$C$11:$Z$58,3,FALSE)</f>
        <v>94</v>
      </c>
      <c r="E21" s="7">
        <f>+VLOOKUP(B21,data!$C$11:$Z$58,4,FALSE)</f>
        <v>119</v>
      </c>
      <c r="F21" s="7">
        <f>+VLOOKUP(B21,data!$C$11:$Z$58,5,FALSE)</f>
        <v>68</v>
      </c>
      <c r="G21" s="7">
        <f t="shared" si="1"/>
        <v>93</v>
      </c>
      <c r="K21" s="6">
        <v>17</v>
      </c>
      <c r="L21" s="23">
        <f>+VLOOKUP(B21,data!$C$11:$U$58,16,0)</f>
        <v>3.3000000000000002E-2</v>
      </c>
      <c r="M21" s="23">
        <f>+VLOOKUP(B21,data!$C$11:$U$58,17,0)</f>
        <v>8.7999999999999995E-2</v>
      </c>
      <c r="N21" s="23">
        <f>+VLOOKUP(B21,data!$C$11:$U$58,18,0)</f>
        <v>0.05</v>
      </c>
      <c r="O21" s="23">
        <f>+VLOOKUP(B21,data!$C$11:$U$58,19,0)</f>
        <v>8.2000000000000003E-2</v>
      </c>
      <c r="P21" s="23">
        <f t="shared" si="0"/>
        <v>6.3250000000000001E-2</v>
      </c>
      <c r="Q21" s="23">
        <f t="shared" si="2"/>
        <v>6.3250000000000001E-2</v>
      </c>
      <c r="R21" s="6">
        <v>17</v>
      </c>
      <c r="S21" s="23">
        <f>+VLOOKUP(B21,data!$C$11:$AA$58,21,FALSE)</f>
        <v>0.91539999999999999</v>
      </c>
      <c r="T21" s="23">
        <f>VLOOKUP(B21,data!$C$11:$AA$58,22,FALSE)</f>
        <v>0.91159999999999997</v>
      </c>
      <c r="U21" s="23">
        <f>+VLOOKUP(B21,data!$C$11:$AA$58,23,FALSE)</f>
        <v>0.91049999999999998</v>
      </c>
      <c r="V21" s="23">
        <f>+VLOOKUP(B21,data!$C$11:$AA$58,24,FALSE)</f>
        <v>0.91610000000000003</v>
      </c>
      <c r="W21" s="23">
        <f t="shared" si="3"/>
        <v>0.91339999999999999</v>
      </c>
    </row>
    <row r="22" spans="2:23" x14ac:dyDescent="0.25">
      <c r="B22" s="6">
        <v>18</v>
      </c>
      <c r="C22" s="7">
        <f>+VLOOKUP(B22,data!$C$11:$Z$58,2,FALSE)</f>
        <v>125</v>
      </c>
      <c r="D22" s="7">
        <f>+VLOOKUP(B22,data!$C$11:$Z$58,3,FALSE)</f>
        <v>169</v>
      </c>
      <c r="E22" s="7">
        <f>+VLOOKUP(B22,data!$C$11:$Z$58,4,FALSE)</f>
        <v>155</v>
      </c>
      <c r="F22" s="7">
        <f>+VLOOKUP(B22,data!$C$11:$Z$58,5,FALSE)</f>
        <v>156</v>
      </c>
      <c r="G22" s="7">
        <f t="shared" si="1"/>
        <v>151.25</v>
      </c>
      <c r="K22" s="6">
        <v>18</v>
      </c>
      <c r="L22" s="23">
        <f>+VLOOKUP(B22,data!$C$11:$U$58,16,0)</f>
        <v>0.01</v>
      </c>
      <c r="M22" s="23">
        <f>+VLOOKUP(B22,data!$C$11:$U$58,17,0)</f>
        <v>8.4000000000000005E-2</v>
      </c>
      <c r="N22" s="23">
        <f>+VLOOKUP(B22,data!$C$11:$U$58,18,0)</f>
        <v>6.3E-2</v>
      </c>
      <c r="O22" s="23">
        <f>+VLOOKUP(B22,data!$C$11:$U$58,19,0)</f>
        <v>2.7E-2</v>
      </c>
      <c r="P22" s="23">
        <f t="shared" si="0"/>
        <v>4.5999999999999999E-2</v>
      </c>
      <c r="Q22" s="23">
        <f t="shared" si="2"/>
        <v>4.5999999999999999E-2</v>
      </c>
      <c r="R22" s="6">
        <v>18</v>
      </c>
      <c r="S22" s="23">
        <f>+VLOOKUP(B22,data!$C$11:$AA$58,21,FALSE)</f>
        <v>0.91590000000000005</v>
      </c>
      <c r="T22" s="23">
        <f>VLOOKUP(B22,data!$C$11:$AA$58,22,FALSE)</f>
        <v>0.91139999999999999</v>
      </c>
      <c r="U22" s="23">
        <f>+VLOOKUP(B22,data!$C$11:$AA$58,23,FALSE)</f>
        <v>0.91579999999999995</v>
      </c>
      <c r="V22" s="23">
        <f>+VLOOKUP(B22,data!$C$11:$AA$58,24,FALSE)</f>
        <v>0.91779999999999995</v>
      </c>
      <c r="W22" s="23">
        <f t="shared" si="3"/>
        <v>0.91522499999999996</v>
      </c>
    </row>
    <row r="23" spans="2:23" x14ac:dyDescent="0.25">
      <c r="B23" s="6">
        <v>19</v>
      </c>
      <c r="C23" s="7">
        <f>+VLOOKUP(B23,data!$C$11:$Z$58,2,FALSE)</f>
        <v>62</v>
      </c>
      <c r="D23" s="7">
        <f>+VLOOKUP(B23,data!$C$11:$Z$58,3,FALSE)</f>
        <v>145</v>
      </c>
      <c r="E23" s="7">
        <f>+VLOOKUP(B23,data!$C$11:$Z$58,4,FALSE)</f>
        <v>79</v>
      </c>
      <c r="F23" s="7">
        <f>+VLOOKUP(B23,data!$C$11:$Z$58,5,FALSE)</f>
        <v>145</v>
      </c>
      <c r="G23" s="7">
        <f t="shared" si="1"/>
        <v>107.75</v>
      </c>
      <c r="K23" s="6">
        <v>19</v>
      </c>
      <c r="L23" s="23">
        <f>+VLOOKUP(B23,data!$C$11:$U$58,16,0)</f>
        <v>3.7999999999999999E-2</v>
      </c>
      <c r="M23" s="23">
        <f>+VLOOKUP(B23,data!$C$11:$U$58,17,0)</f>
        <v>0.06</v>
      </c>
      <c r="N23" s="23">
        <f>+VLOOKUP(B23,data!$C$11:$U$58,18,0)</f>
        <v>9.7000000000000003E-2</v>
      </c>
      <c r="O23" s="23">
        <f>+VLOOKUP(B23,data!$C$11:$U$58,19,0)</f>
        <v>5.8000000000000003E-2</v>
      </c>
      <c r="P23" s="23">
        <f t="shared" si="0"/>
        <v>6.3250000000000001E-2</v>
      </c>
      <c r="Q23" s="23">
        <f t="shared" si="2"/>
        <v>6.3250000000000001E-2</v>
      </c>
      <c r="R23" s="6">
        <v>19</v>
      </c>
      <c r="S23" s="23">
        <f>+VLOOKUP(B23,data!$C$11:$AA$58,21,FALSE)</f>
        <v>0.91879999999999995</v>
      </c>
      <c r="T23" s="23">
        <f>VLOOKUP(B23,data!$C$11:$AA$58,22,FALSE)</f>
        <v>0.91259999999999997</v>
      </c>
      <c r="U23" s="23">
        <f>+VLOOKUP(B23,data!$C$11:$AA$58,23,FALSE)</f>
        <v>0.91339999999999999</v>
      </c>
      <c r="V23" s="23">
        <f>+VLOOKUP(B23,data!$C$11:$AA$58,24,FALSE)</f>
        <v>0.91339999999999999</v>
      </c>
      <c r="W23" s="23">
        <f t="shared" si="3"/>
        <v>0.91454999999999997</v>
      </c>
    </row>
    <row r="24" spans="2:23" x14ac:dyDescent="0.25">
      <c r="B24" s="6">
        <v>20</v>
      </c>
      <c r="C24" s="7">
        <f>+VLOOKUP(B24,data!$C$11:$Z$58,2,FALSE)</f>
        <v>154</v>
      </c>
      <c r="D24" s="7">
        <f>+VLOOKUP(B24,data!$C$11:$Z$58,3,FALSE)</f>
        <v>88</v>
      </c>
      <c r="E24" s="7">
        <f>+VLOOKUP(B24,data!$C$11:$Z$58,4,FALSE)</f>
        <v>150</v>
      </c>
      <c r="F24" s="7">
        <f>+VLOOKUP(B24,data!$C$11:$Z$58,5,FALSE)</f>
        <v>127</v>
      </c>
      <c r="G24" s="7">
        <f t="shared" si="1"/>
        <v>129.75</v>
      </c>
      <c r="K24" s="6">
        <v>20</v>
      </c>
      <c r="L24" s="23">
        <f>+VLOOKUP(B24,data!$C$11:$U$58,16,0)</f>
        <v>5.8999999999999997E-2</v>
      </c>
      <c r="M24" s="23">
        <f>+VLOOKUP(B24,data!$C$11:$U$58,17,0)</f>
        <v>3.5000000000000003E-2</v>
      </c>
      <c r="N24" s="23">
        <f>+VLOOKUP(B24,data!$C$11:$U$58,18,0)</f>
        <v>7.2999999999999995E-2</v>
      </c>
      <c r="O24" s="23">
        <f>+VLOOKUP(B24,data!$C$11:$U$58,19,0)</f>
        <v>0.09</v>
      </c>
      <c r="P24" s="23">
        <f t="shared" si="0"/>
        <v>6.4250000000000002E-2</v>
      </c>
      <c r="Q24" s="23">
        <f t="shared" si="2"/>
        <v>6.4250000000000002E-2</v>
      </c>
      <c r="R24" s="6">
        <v>20</v>
      </c>
      <c r="S24" s="23">
        <f>+VLOOKUP(B24,data!$C$11:$AA$58,21,FALSE)</f>
        <v>0.91710000000000003</v>
      </c>
      <c r="T24" s="23">
        <f>VLOOKUP(B24,data!$C$11:$AA$58,22,FALSE)</f>
        <v>0.91220000000000001</v>
      </c>
      <c r="U24" s="23">
        <f>+VLOOKUP(B24,data!$C$11:$AA$58,23,FALSE)</f>
        <v>0.91839999999999999</v>
      </c>
      <c r="V24" s="23">
        <f>+VLOOKUP(B24,data!$C$11:$AA$58,24,FALSE)</f>
        <v>0.91549999999999998</v>
      </c>
      <c r="W24" s="23">
        <f t="shared" si="3"/>
        <v>0.91579999999999995</v>
      </c>
    </row>
    <row r="25" spans="2:23" x14ac:dyDescent="0.25">
      <c r="B25" s="6">
        <v>21</v>
      </c>
      <c r="C25" s="7">
        <f>+VLOOKUP(B25,data!$C$11:$Z$58,2,FALSE)</f>
        <v>62</v>
      </c>
      <c r="D25" s="7">
        <f>+VLOOKUP(B25,data!$C$11:$Z$58,3,FALSE)</f>
        <v>140</v>
      </c>
      <c r="E25" s="7">
        <f>+VLOOKUP(B25,data!$C$11:$Z$58,4,FALSE)</f>
        <v>124</v>
      </c>
      <c r="F25" s="7">
        <f>+VLOOKUP(B25,data!$C$11:$Z$58,5,FALSE)</f>
        <v>110</v>
      </c>
      <c r="G25" s="7">
        <f t="shared" si="1"/>
        <v>109</v>
      </c>
      <c r="K25" s="6">
        <v>21</v>
      </c>
      <c r="L25" s="23">
        <f>+VLOOKUP(B25,data!$C$11:$U$58,16,0)</f>
        <v>6.6000000000000003E-2</v>
      </c>
      <c r="M25" s="23">
        <f>+VLOOKUP(B25,data!$C$11:$U$58,17,0)</f>
        <v>4.5999999999999999E-2</v>
      </c>
      <c r="N25" s="23">
        <f>+VLOOKUP(B25,data!$C$11:$U$58,18,0)</f>
        <v>5.2999999999999999E-2</v>
      </c>
      <c r="O25" s="23">
        <f>+VLOOKUP(B25,data!$C$11:$U$58,19,0)</f>
        <v>2.7E-2</v>
      </c>
      <c r="P25" s="23">
        <f t="shared" si="0"/>
        <v>4.8000000000000001E-2</v>
      </c>
      <c r="Q25" s="23">
        <f t="shared" si="2"/>
        <v>4.8000000000000001E-2</v>
      </c>
      <c r="R25" s="6">
        <v>21</v>
      </c>
      <c r="S25" s="23">
        <f>+VLOOKUP(B25,data!$C$11:$AA$58,21,FALSE)</f>
        <v>0.91820000000000002</v>
      </c>
      <c r="T25" s="23">
        <f>VLOOKUP(B25,data!$C$11:$AA$58,22,FALSE)</f>
        <v>0.91779999999999995</v>
      </c>
      <c r="U25" s="23">
        <f>+VLOOKUP(B25,data!$C$11:$AA$58,23,FALSE)</f>
        <v>0.91810000000000003</v>
      </c>
      <c r="V25" s="23">
        <f>+VLOOKUP(B25,data!$C$11:$AA$58,24,FALSE)</f>
        <v>0.91469999999999996</v>
      </c>
      <c r="W25" s="23">
        <f t="shared" si="3"/>
        <v>0.9171999999999999</v>
      </c>
    </row>
    <row r="26" spans="2:23" x14ac:dyDescent="0.25">
      <c r="B26" s="6">
        <v>22</v>
      </c>
      <c r="C26" s="7">
        <f>+VLOOKUP(B26,data!$C$11:$Z$58,2,FALSE)</f>
        <v>74</v>
      </c>
      <c r="D26" s="7">
        <f>+VLOOKUP(B26,data!$C$11:$Z$58,3,FALSE)</f>
        <v>168</v>
      </c>
      <c r="E26" s="7">
        <f>+VLOOKUP(B26,data!$C$11:$Z$58,4,FALSE)</f>
        <v>127</v>
      </c>
      <c r="F26" s="7">
        <f>+VLOOKUP(B26,data!$C$11:$Z$58,5,FALSE)</f>
        <v>169</v>
      </c>
      <c r="G26" s="7">
        <f t="shared" si="1"/>
        <v>134.5</v>
      </c>
      <c r="K26" s="6">
        <v>22</v>
      </c>
      <c r="L26" s="23">
        <f>+VLOOKUP(B26,data!$C$11:$U$58,16,0)</f>
        <v>0.03</v>
      </c>
      <c r="M26" s="23">
        <f>+VLOOKUP(B26,data!$C$11:$U$58,17,0)</f>
        <v>9.9000000000000005E-2</v>
      </c>
      <c r="N26" s="23">
        <f>+VLOOKUP(B26,data!$C$11:$U$58,18,0)</f>
        <v>7.3999999999999996E-2</v>
      </c>
      <c r="O26" s="23">
        <f>+VLOOKUP(B26,data!$C$11:$U$58,19,0)</f>
        <v>4.9000000000000002E-2</v>
      </c>
      <c r="P26" s="23">
        <f t="shared" si="0"/>
        <v>6.3E-2</v>
      </c>
      <c r="Q26" s="23">
        <f t="shared" si="2"/>
        <v>6.3E-2</v>
      </c>
      <c r="R26" s="6">
        <v>22</v>
      </c>
      <c r="S26" s="23">
        <f>+VLOOKUP(B26,data!$C$11:$AA$58,21,FALSE)</f>
        <v>0.91200000000000003</v>
      </c>
      <c r="T26" s="23">
        <f>VLOOKUP(B26,data!$C$11:$AA$58,22,FALSE)</f>
        <v>0.91830000000000001</v>
      </c>
      <c r="U26" s="23">
        <f>+VLOOKUP(B26,data!$C$11:$AA$58,23,FALSE)</f>
        <v>0.91290000000000004</v>
      </c>
      <c r="V26" s="23">
        <f>+VLOOKUP(B26,data!$C$11:$AA$58,24,FALSE)</f>
        <v>0.95</v>
      </c>
      <c r="W26" s="23">
        <f t="shared" si="3"/>
        <v>0.92330000000000001</v>
      </c>
    </row>
    <row r="27" spans="2:23" x14ac:dyDescent="0.25">
      <c r="B27" s="6">
        <v>23</v>
      </c>
      <c r="C27" s="7">
        <f>+VLOOKUP(B27,data!$C$11:$Z$58,2,FALSE)</f>
        <v>155</v>
      </c>
      <c r="D27" s="7">
        <f>+VLOOKUP(B27,data!$C$11:$Z$58,3,FALSE)</f>
        <v>95</v>
      </c>
      <c r="E27" s="7">
        <f>+VLOOKUP(B27,data!$C$11:$Z$58,4,FALSE)</f>
        <v>65</v>
      </c>
      <c r="F27" s="7">
        <f>+VLOOKUP(B27,data!$C$11:$Z$58,5,FALSE)</f>
        <v>112</v>
      </c>
      <c r="G27" s="7">
        <f t="shared" si="1"/>
        <v>106.75</v>
      </c>
      <c r="K27" s="6">
        <v>23</v>
      </c>
      <c r="L27" s="23">
        <f>+VLOOKUP(B27,data!$C$11:$U$58,16,0)</f>
        <v>8.5000000000000006E-2</v>
      </c>
      <c r="M27" s="23">
        <f>+VLOOKUP(B27,data!$C$11:$U$58,17,0)</f>
        <v>9.8000000000000004E-2</v>
      </c>
      <c r="N27" s="23">
        <f>+VLOOKUP(B27,data!$C$11:$U$58,18,0)</f>
        <v>9.8000000000000004E-2</v>
      </c>
      <c r="O27" s="23">
        <f>+VLOOKUP(B27,data!$C$11:$U$58,19,0)</f>
        <v>2.7E-2</v>
      </c>
      <c r="P27" s="23">
        <f t="shared" si="0"/>
        <v>7.7000000000000013E-2</v>
      </c>
      <c r="Q27" s="23">
        <f t="shared" si="2"/>
        <v>7.7000000000000013E-2</v>
      </c>
      <c r="R27" s="6">
        <v>23</v>
      </c>
      <c r="S27" s="23">
        <f>+VLOOKUP(B27,data!$C$11:$AA$58,21,FALSE)</f>
        <v>0.91320000000000001</v>
      </c>
      <c r="T27" s="23">
        <f>VLOOKUP(B27,data!$C$11:$AA$58,22,FALSE)</f>
        <v>0.91739999999999999</v>
      </c>
      <c r="U27" s="23">
        <f>+VLOOKUP(B27,data!$C$11:$AA$58,23,FALSE)</f>
        <v>0.91479999999999995</v>
      </c>
      <c r="V27" s="23">
        <f>+VLOOKUP(B27,data!$C$11:$AA$58,24,FALSE)</f>
        <v>0.9123</v>
      </c>
      <c r="W27" s="23">
        <f t="shared" si="3"/>
        <v>0.91442500000000004</v>
      </c>
    </row>
    <row r="28" spans="2:23" ht="15" thickBot="1" x14ac:dyDescent="0.3">
      <c r="B28" s="15">
        <v>24</v>
      </c>
      <c r="C28" s="7">
        <f>+VLOOKUP(B28,data!$C$11:$Z$58,2,FALSE)</f>
        <v>85</v>
      </c>
      <c r="D28" s="7">
        <f>+VLOOKUP(B28,data!$C$11:$Z$58,3,FALSE)</f>
        <v>139</v>
      </c>
      <c r="E28" s="7">
        <f>+VLOOKUP(B28,data!$C$11:$Z$58,4,FALSE)</f>
        <v>112</v>
      </c>
      <c r="F28" s="7">
        <f>+VLOOKUP(B28,data!$C$11:$Z$58,5,FALSE)</f>
        <v>135</v>
      </c>
      <c r="G28" s="7">
        <f t="shared" si="1"/>
        <v>117.75</v>
      </c>
      <c r="K28" s="15">
        <v>24</v>
      </c>
      <c r="L28" s="23">
        <f>+VLOOKUP(B28,data!$C$11:$U$58,16,0)</f>
        <v>1.9E-2</v>
      </c>
      <c r="M28" s="23">
        <f>+VLOOKUP(B28,data!$C$11:$U$58,17,0)</f>
        <v>1.7999999999999999E-2</v>
      </c>
      <c r="N28" s="23">
        <f>+VLOOKUP(B28,data!$C$11:$U$58,18,0)</f>
        <v>4.3999999999999997E-2</v>
      </c>
      <c r="O28" s="23">
        <f>+VLOOKUP(B28,data!$C$11:$U$58,19,0)</f>
        <v>0.08</v>
      </c>
      <c r="P28" s="23">
        <f t="shared" si="0"/>
        <v>4.0249999999999994E-2</v>
      </c>
      <c r="Q28" s="23">
        <f t="shared" si="2"/>
        <v>4.0249999999999994E-2</v>
      </c>
      <c r="R28" s="15">
        <v>24</v>
      </c>
      <c r="S28" s="23">
        <f>+VLOOKUP(B28,data!$C$11:$AA$58,21,FALSE)</f>
        <v>0.91679999999999995</v>
      </c>
      <c r="T28" s="23">
        <f>VLOOKUP(B28,data!$C$11:$AA$58,22,FALSE)</f>
        <v>0.91669999999999996</v>
      </c>
      <c r="U28" s="23">
        <f>+VLOOKUP(B28,data!$C$11:$AA$58,23,FALSE)</f>
        <v>0.91020000000000001</v>
      </c>
      <c r="V28" s="23">
        <f>+VLOOKUP(B28,data!$C$11:$AA$58,24,FALSE)</f>
        <v>0.91749999999999998</v>
      </c>
      <c r="W28" s="23">
        <f t="shared" si="3"/>
        <v>0.9153</v>
      </c>
    </row>
    <row r="29" spans="2:23" x14ac:dyDescent="0.25">
      <c r="B29" s="11">
        <v>25</v>
      </c>
      <c r="C29" s="7">
        <f>+VLOOKUP(B29,data!$C$11:$Z$58,2,FALSE)</f>
        <v>88</v>
      </c>
      <c r="D29" s="7">
        <f>+VLOOKUP(B29,data!$C$11:$Z$58,3,FALSE)</f>
        <v>84</v>
      </c>
      <c r="E29" s="7">
        <f>+VLOOKUP(B29,data!$C$11:$Z$58,4,FALSE)</f>
        <v>77</v>
      </c>
      <c r="F29" s="7">
        <f>+VLOOKUP(B29,data!$C$11:$Z$58,5,FALSE)</f>
        <v>152</v>
      </c>
      <c r="G29" s="7">
        <f t="shared" si="1"/>
        <v>100.25</v>
      </c>
      <c r="K29" s="11">
        <v>25</v>
      </c>
      <c r="L29" s="23">
        <f>+VLOOKUP(B29,data!$C$11:$U$58,16,0)</f>
        <v>8.5000000000000006E-2</v>
      </c>
      <c r="M29" s="23">
        <f>+VLOOKUP(B29,data!$C$11:$U$58,17,0)</f>
        <v>2.1000000000000001E-2</v>
      </c>
      <c r="N29" s="23">
        <f>+VLOOKUP(B29,data!$C$11:$U$58,18,0)</f>
        <v>5.0000000000000001E-3</v>
      </c>
      <c r="O29" s="23">
        <f>+VLOOKUP(B29,data!$C$11:$U$58,19,0)</f>
        <v>9.0999999999999998E-2</v>
      </c>
      <c r="P29" s="23">
        <f t="shared" si="0"/>
        <v>5.0500000000000003E-2</v>
      </c>
      <c r="Q29" s="23">
        <f t="shared" si="2"/>
        <v>5.0500000000000003E-2</v>
      </c>
      <c r="R29" s="11">
        <v>25</v>
      </c>
      <c r="S29" s="23">
        <f>+VLOOKUP(B29,data!$C$11:$AA$58,21,FALSE)</f>
        <v>0.91669999999999996</v>
      </c>
      <c r="T29" s="23">
        <f>VLOOKUP(B29,data!$C$11:$AA$58,22,FALSE)</f>
        <v>0.91069999999999995</v>
      </c>
      <c r="U29" s="23">
        <f>+VLOOKUP(B29,data!$C$11:$AA$58,23,FALSE)</f>
        <v>0.91869999999999996</v>
      </c>
      <c r="V29" s="23">
        <f>+VLOOKUP(B29,data!$C$11:$AA$58,24,FALSE)</f>
        <v>0.91139999999999999</v>
      </c>
      <c r="W29" s="23">
        <f t="shared" si="3"/>
        <v>0.91437499999999994</v>
      </c>
    </row>
    <row r="30" spans="2:23" x14ac:dyDescent="0.25">
      <c r="B30" s="6">
        <v>26</v>
      </c>
      <c r="C30" s="7">
        <f>+VLOOKUP(B30,data!$C$11:$Z$58,2,FALSE)</f>
        <v>120</v>
      </c>
      <c r="D30" s="7">
        <f>+VLOOKUP(B30,data!$C$11:$Z$58,3,FALSE)</f>
        <v>84</v>
      </c>
      <c r="E30" s="7">
        <f>+VLOOKUP(B30,data!$C$11:$Z$58,4,FALSE)</f>
        <v>103</v>
      </c>
      <c r="F30" s="7">
        <f>+VLOOKUP(B30,data!$C$11:$Z$58,5,FALSE)</f>
        <v>149</v>
      </c>
      <c r="G30" s="7">
        <f t="shared" si="1"/>
        <v>114</v>
      </c>
      <c r="K30" s="6">
        <v>26</v>
      </c>
      <c r="L30" s="23">
        <f>+VLOOKUP(B30,data!$C$11:$U$58,16,0)</f>
        <v>3.5999999999999997E-2</v>
      </c>
      <c r="M30" s="23">
        <f>+VLOOKUP(B30,data!$C$11:$U$58,17,0)</f>
        <v>3.5000000000000003E-2</v>
      </c>
      <c r="N30" s="23">
        <f>+VLOOKUP(B30,data!$C$11:$U$58,18,0)</f>
        <v>4.3999999999999997E-2</v>
      </c>
      <c r="O30" s="23">
        <f>+VLOOKUP(B30,data!$C$11:$U$58,19,0)</f>
        <v>8.5999999999999993E-2</v>
      </c>
      <c r="P30" s="23">
        <f t="shared" si="0"/>
        <v>5.0250000000000003E-2</v>
      </c>
      <c r="Q30" s="23">
        <f t="shared" si="2"/>
        <v>5.0250000000000003E-2</v>
      </c>
      <c r="R30" s="6">
        <v>26</v>
      </c>
      <c r="S30" s="23">
        <f>+VLOOKUP(B30,data!$C$11:$AA$58,21,FALSE)</f>
        <v>0.91</v>
      </c>
      <c r="T30" s="23">
        <f>VLOOKUP(B30,data!$C$11:$AA$58,22,FALSE)</f>
        <v>0.91739999999999999</v>
      </c>
      <c r="U30" s="23">
        <f>+VLOOKUP(B30,data!$C$11:$AA$58,23,FALSE)</f>
        <v>0.91479999999999995</v>
      </c>
      <c r="V30" s="23">
        <f>+VLOOKUP(B30,data!$C$11:$AA$58,24,FALSE)</f>
        <v>0.91859999999999997</v>
      </c>
      <c r="W30" s="23">
        <f t="shared" si="3"/>
        <v>0.91520000000000001</v>
      </c>
    </row>
    <row r="31" spans="2:23" x14ac:dyDescent="0.25">
      <c r="B31" s="6">
        <v>27</v>
      </c>
      <c r="C31" s="7">
        <f>+VLOOKUP(B31,data!$C$11:$Z$58,2,FALSE)</f>
        <v>91</v>
      </c>
      <c r="D31" s="7">
        <f>+VLOOKUP(B31,data!$C$11:$Z$58,3,FALSE)</f>
        <v>156</v>
      </c>
      <c r="E31" s="7">
        <f>+VLOOKUP(B31,data!$C$11:$Z$58,4,FALSE)</f>
        <v>139</v>
      </c>
      <c r="F31" s="7">
        <f>+VLOOKUP(B31,data!$C$11:$Z$58,5,FALSE)</f>
        <v>152</v>
      </c>
      <c r="G31" s="7">
        <f t="shared" si="1"/>
        <v>134.5</v>
      </c>
      <c r="K31" s="6">
        <v>27</v>
      </c>
      <c r="L31" s="23">
        <f>+VLOOKUP(B31,data!$C$11:$U$58,16,0)</f>
        <v>9.8000000000000004E-2</v>
      </c>
      <c r="M31" s="23">
        <f>+VLOOKUP(B31,data!$C$11:$U$58,17,0)</f>
        <v>6.7000000000000004E-2</v>
      </c>
      <c r="N31" s="23">
        <f>+VLOOKUP(B31,data!$C$11:$U$58,18,0)</f>
        <v>4.7E-2</v>
      </c>
      <c r="O31" s="23">
        <f>+VLOOKUP(B31,data!$C$11:$U$58,19,0)</f>
        <v>2.5000000000000001E-2</v>
      </c>
      <c r="P31" s="23">
        <f t="shared" si="0"/>
        <v>5.9250000000000004E-2</v>
      </c>
      <c r="Q31" s="23">
        <f t="shared" si="2"/>
        <v>5.9250000000000004E-2</v>
      </c>
      <c r="R31" s="6">
        <v>27</v>
      </c>
      <c r="S31" s="23">
        <f>+VLOOKUP(B31,data!$C$11:$AA$58,21,FALSE)</f>
        <v>0.91669999999999996</v>
      </c>
      <c r="T31" s="23">
        <f>VLOOKUP(B31,data!$C$11:$AA$58,22,FALSE)</f>
        <v>0.91669999999999996</v>
      </c>
      <c r="U31" s="23">
        <f>+VLOOKUP(B31,data!$C$11:$AA$58,23,FALSE)</f>
        <v>0.91710000000000003</v>
      </c>
      <c r="V31" s="23">
        <f>+VLOOKUP(B31,data!$C$11:$AA$58,24,FALSE)</f>
        <v>0.97</v>
      </c>
      <c r="W31" s="23">
        <f t="shared" si="3"/>
        <v>0.93012499999999987</v>
      </c>
    </row>
    <row r="32" spans="2:23" x14ac:dyDescent="0.25">
      <c r="B32" s="6">
        <v>28</v>
      </c>
      <c r="C32" s="7">
        <f>+VLOOKUP(B32,data!$C$11:$Z$58,2,FALSE)</f>
        <v>62</v>
      </c>
      <c r="D32" s="7">
        <f>+VLOOKUP(B32,data!$C$11:$Z$58,3,FALSE)</f>
        <v>96</v>
      </c>
      <c r="E32" s="7">
        <f>+VLOOKUP(B32,data!$C$11:$Z$58,4,FALSE)</f>
        <v>93</v>
      </c>
      <c r="F32" s="7">
        <f>+VLOOKUP(B32,data!$C$11:$Z$58,5,FALSE)</f>
        <v>128</v>
      </c>
      <c r="G32" s="7">
        <f t="shared" si="1"/>
        <v>94.75</v>
      </c>
      <c r="K32" s="6">
        <v>28</v>
      </c>
      <c r="L32" s="23">
        <f>+VLOOKUP(B32,data!$C$11:$U$58,16,0)</f>
        <v>9.1999999999999998E-2</v>
      </c>
      <c r="M32" s="23">
        <f>+VLOOKUP(B32,data!$C$11:$U$58,17,0)</f>
        <v>1.4999999999999999E-2</v>
      </c>
      <c r="N32" s="23">
        <f>+VLOOKUP(B32,data!$C$11:$U$58,18,0)</f>
        <v>5.6000000000000001E-2</v>
      </c>
      <c r="O32" s="23">
        <f>+VLOOKUP(B32,data!$C$11:$U$58,19,0)</f>
        <v>6.7000000000000004E-2</v>
      </c>
      <c r="P32" s="23">
        <f t="shared" si="0"/>
        <v>5.7500000000000002E-2</v>
      </c>
      <c r="Q32" s="23">
        <f t="shared" si="2"/>
        <v>5.7500000000000002E-2</v>
      </c>
      <c r="R32" s="6">
        <v>28</v>
      </c>
      <c r="S32" s="23">
        <f>+VLOOKUP(B32,data!$C$11:$AA$58,21,FALSE)</f>
        <v>0.91439999999999999</v>
      </c>
      <c r="T32" s="23">
        <f>VLOOKUP(B32,data!$C$11:$AA$58,22,FALSE)</f>
        <v>0.91710000000000003</v>
      </c>
      <c r="U32" s="23">
        <f>+VLOOKUP(B32,data!$C$11:$AA$58,23,FALSE)</f>
        <v>0.91890000000000005</v>
      </c>
      <c r="V32" s="23">
        <f>+VLOOKUP(B32,data!$C$11:$AA$58,24,FALSE)</f>
        <v>0.9143</v>
      </c>
      <c r="W32" s="23">
        <f t="shared" si="3"/>
        <v>0.91617499999999996</v>
      </c>
    </row>
    <row r="33" spans="2:23" x14ac:dyDescent="0.25">
      <c r="B33" s="6">
        <v>29</v>
      </c>
      <c r="C33" s="7">
        <f>+VLOOKUP(B33,data!$C$11:$Z$58,2,FALSE)</f>
        <v>157</v>
      </c>
      <c r="D33" s="7">
        <f>+VLOOKUP(B33,data!$C$11:$Z$58,3,FALSE)</f>
        <v>72</v>
      </c>
      <c r="E33" s="7">
        <f>+VLOOKUP(B33,data!$C$11:$Z$58,4,FALSE)</f>
        <v>149</v>
      </c>
      <c r="F33" s="7">
        <f>+VLOOKUP(B33,data!$C$11:$Z$58,5,FALSE)</f>
        <v>83</v>
      </c>
      <c r="G33" s="7">
        <f t="shared" si="1"/>
        <v>115.25</v>
      </c>
      <c r="K33" s="6">
        <v>29</v>
      </c>
      <c r="L33" s="23">
        <f>+VLOOKUP(B33,data!$C$11:$U$58,16,0)</f>
        <v>8.4000000000000005E-2</v>
      </c>
      <c r="M33" s="23">
        <f>+VLOOKUP(B33,data!$C$11:$U$58,17,0)</f>
        <v>1.7999999999999999E-2</v>
      </c>
      <c r="N33" s="23">
        <f>+VLOOKUP(B33,data!$C$11:$U$58,18,0)</f>
        <v>9.8000000000000004E-2</v>
      </c>
      <c r="O33" s="23">
        <f>+VLOOKUP(B33,data!$C$11:$U$58,19,0)</f>
        <v>1.6E-2</v>
      </c>
      <c r="P33" s="23">
        <f t="shared" si="0"/>
        <v>5.4000000000000006E-2</v>
      </c>
      <c r="Q33" s="23">
        <f t="shared" si="2"/>
        <v>5.4000000000000006E-2</v>
      </c>
      <c r="R33" s="6">
        <v>29</v>
      </c>
      <c r="S33" s="23">
        <f>+VLOOKUP(B33,data!$C$11:$AA$58,21,FALSE)</f>
        <v>0.91449999999999998</v>
      </c>
      <c r="T33" s="23">
        <f>VLOOKUP(B33,data!$C$11:$AA$58,22,FALSE)</f>
        <v>0.91220000000000001</v>
      </c>
      <c r="U33" s="23">
        <f>+VLOOKUP(B33,data!$C$11:$AA$58,23,FALSE)</f>
        <v>0.9133</v>
      </c>
      <c r="V33" s="23">
        <f>+VLOOKUP(B33,data!$C$11:$AA$58,24,FALSE)</f>
        <v>0.9153</v>
      </c>
      <c r="W33" s="23">
        <f t="shared" si="3"/>
        <v>0.91382500000000011</v>
      </c>
    </row>
    <row r="34" spans="2:23" x14ac:dyDescent="0.25">
      <c r="B34" s="6">
        <v>30</v>
      </c>
      <c r="C34" s="7">
        <f>+VLOOKUP(B34,data!$C$11:$Z$58,2,FALSE)</f>
        <v>109</v>
      </c>
      <c r="D34" s="7">
        <f>+VLOOKUP(B34,data!$C$11:$Z$58,3,FALSE)</f>
        <v>98</v>
      </c>
      <c r="E34" s="7">
        <f>+VLOOKUP(B34,data!$C$11:$Z$58,4,FALSE)</f>
        <v>130</v>
      </c>
      <c r="F34" s="7">
        <f>+VLOOKUP(B34,data!$C$11:$Z$58,5,FALSE)</f>
        <v>98</v>
      </c>
      <c r="G34" s="7">
        <f t="shared" si="1"/>
        <v>108.75</v>
      </c>
      <c r="K34" s="6">
        <v>30</v>
      </c>
      <c r="L34" s="23">
        <f>+VLOOKUP(B34,data!$C$11:$U$58,16,0)</f>
        <v>1.0999999999999999E-2</v>
      </c>
      <c r="M34" s="23">
        <f>+VLOOKUP(B34,data!$C$11:$U$58,17,0)</f>
        <v>1.0999999999999999E-2</v>
      </c>
      <c r="N34" s="23">
        <f>+VLOOKUP(B34,data!$C$11:$U$58,18,0)</f>
        <v>4.2000000000000003E-2</v>
      </c>
      <c r="O34" s="23">
        <f>+VLOOKUP(B34,data!$C$11:$U$58,19,0)</f>
        <v>0.01</v>
      </c>
      <c r="P34" s="23">
        <f t="shared" si="0"/>
        <v>1.8499999999999999E-2</v>
      </c>
      <c r="Q34" s="23">
        <f t="shared" si="2"/>
        <v>1.8499999999999999E-2</v>
      </c>
      <c r="R34" s="6">
        <v>30</v>
      </c>
      <c r="S34" s="23">
        <f>+VLOOKUP(B34,data!$C$11:$AA$58,21,FALSE)</f>
        <v>0.90990000000000004</v>
      </c>
      <c r="T34" s="23">
        <f>VLOOKUP(B34,data!$C$11:$AA$58,22,FALSE)</f>
        <v>0.91049999999999998</v>
      </c>
      <c r="U34" s="23">
        <f>+VLOOKUP(B34,data!$C$11:$AA$58,23,FALSE)</f>
        <v>0.90990000000000004</v>
      </c>
      <c r="V34" s="23">
        <f>+VLOOKUP(B34,data!$C$11:$AA$58,24,FALSE)</f>
        <v>0.91779999999999995</v>
      </c>
      <c r="W34" s="23">
        <f t="shared" si="3"/>
        <v>0.91202500000000009</v>
      </c>
    </row>
    <row r="35" spans="2:23" x14ac:dyDescent="0.25">
      <c r="B35" s="6">
        <v>31</v>
      </c>
      <c r="C35" s="7">
        <f>+VLOOKUP(B35,data!$C$11:$Z$58,2,FALSE)</f>
        <v>120</v>
      </c>
      <c r="D35" s="7">
        <f>+VLOOKUP(B35,data!$C$11:$Z$58,3,FALSE)</f>
        <v>106</v>
      </c>
      <c r="E35" s="7">
        <f>+VLOOKUP(B35,data!$C$11:$Z$58,4,FALSE)</f>
        <v>161</v>
      </c>
      <c r="F35" s="7">
        <f>+VLOOKUP(B35,data!$C$11:$Z$58,5,FALSE)</f>
        <v>155</v>
      </c>
      <c r="G35" s="7">
        <f t="shared" si="1"/>
        <v>135.5</v>
      </c>
      <c r="K35" s="6">
        <v>31</v>
      </c>
      <c r="L35" s="23">
        <f>+VLOOKUP(B35,data!$C$11:$U$58,16,0)</f>
        <v>4.2000000000000003E-2</v>
      </c>
      <c r="M35" s="23">
        <f>+VLOOKUP(B35,data!$C$11:$U$58,17,0)</f>
        <v>7.3999999999999996E-2</v>
      </c>
      <c r="N35" s="23">
        <f>+VLOOKUP(B35,data!$C$11:$U$58,18,0)</f>
        <v>4.3999999999999997E-2</v>
      </c>
      <c r="O35" s="23">
        <f>+VLOOKUP(B35,data!$C$11:$U$58,19,0)</f>
        <v>9.1999999999999998E-2</v>
      </c>
      <c r="P35" s="23">
        <f t="shared" si="0"/>
        <v>6.3E-2</v>
      </c>
      <c r="Q35" s="23">
        <f t="shared" si="2"/>
        <v>6.3E-2</v>
      </c>
      <c r="R35" s="6">
        <v>31</v>
      </c>
      <c r="S35" s="23">
        <f>+VLOOKUP(B35,data!$C$11:$AA$58,21,FALSE)</f>
        <v>0.91269999999999996</v>
      </c>
      <c r="T35" s="23">
        <f>VLOOKUP(B35,data!$C$11:$AA$58,22,FALSE)</f>
        <v>0.91820000000000002</v>
      </c>
      <c r="U35" s="23">
        <f>+VLOOKUP(B35,data!$C$11:$AA$58,23,FALSE)</f>
        <v>0.91059999999999997</v>
      </c>
      <c r="V35" s="23">
        <f>+VLOOKUP(B35,data!$C$11:$AA$58,24,FALSE)</f>
        <v>0.90939999999999999</v>
      </c>
      <c r="W35" s="23">
        <f t="shared" si="3"/>
        <v>0.91272500000000001</v>
      </c>
    </row>
    <row r="36" spans="2:23" x14ac:dyDescent="0.25">
      <c r="B36" s="6">
        <v>32</v>
      </c>
      <c r="C36" s="7">
        <f>+VLOOKUP(B36,data!$C$11:$Z$58,2,FALSE)</f>
        <v>130</v>
      </c>
      <c r="D36" s="7">
        <f>+VLOOKUP(B36,data!$C$11:$Z$58,3,FALSE)</f>
        <v>96</v>
      </c>
      <c r="E36" s="7">
        <f>+VLOOKUP(B36,data!$C$11:$Z$58,4,FALSE)</f>
        <v>127</v>
      </c>
      <c r="F36" s="7">
        <f>+VLOOKUP(B36,data!$C$11:$Z$58,5,FALSE)</f>
        <v>82</v>
      </c>
      <c r="G36" s="7">
        <f t="shared" si="1"/>
        <v>108.75</v>
      </c>
      <c r="K36" s="6">
        <v>32</v>
      </c>
      <c r="L36" s="23">
        <f>+VLOOKUP(B36,data!$C$11:$U$58,16,0)</f>
        <v>3.2000000000000001E-2</v>
      </c>
      <c r="M36" s="23">
        <f>+VLOOKUP(B36,data!$C$11:$U$58,17,0)</f>
        <v>9.5000000000000001E-2</v>
      </c>
      <c r="N36" s="23">
        <f>+VLOOKUP(B36,data!$C$11:$U$58,18,0)</f>
        <v>3.5000000000000003E-2</v>
      </c>
      <c r="O36" s="23">
        <f>+VLOOKUP(B36,data!$C$11:$U$58,19,0)</f>
        <v>2.8000000000000001E-2</v>
      </c>
      <c r="P36" s="23">
        <f t="shared" si="0"/>
        <v>4.7500000000000001E-2</v>
      </c>
      <c r="Q36" s="23">
        <f t="shared" si="2"/>
        <v>4.7500000000000001E-2</v>
      </c>
      <c r="R36" s="6">
        <v>32</v>
      </c>
      <c r="S36" s="23">
        <f>+VLOOKUP(B36,data!$C$11:$AA$58,21,FALSE)</f>
        <v>0.91739999999999999</v>
      </c>
      <c r="T36" s="23">
        <f>VLOOKUP(B36,data!$C$11:$AA$58,22,FALSE)</f>
        <v>0.91269999999999996</v>
      </c>
      <c r="U36" s="23">
        <f>+VLOOKUP(B36,data!$C$11:$AA$58,23,FALSE)</f>
        <v>0.91539999999999999</v>
      </c>
      <c r="V36" s="23">
        <f>+VLOOKUP(B36,data!$C$11:$AA$58,24,FALSE)</f>
        <v>0.91479999999999995</v>
      </c>
      <c r="W36" s="23">
        <f t="shared" si="3"/>
        <v>0.91507499999999997</v>
      </c>
    </row>
    <row r="37" spans="2:23" x14ac:dyDescent="0.25">
      <c r="B37" s="6">
        <v>33</v>
      </c>
      <c r="C37" s="7">
        <f>+VLOOKUP(B37,data!$C$11:$Z$58,2,FALSE)</f>
        <v>92</v>
      </c>
      <c r="D37" s="7">
        <f>+VLOOKUP(B37,data!$C$11:$Z$58,3,FALSE)</f>
        <v>135</v>
      </c>
      <c r="E37" s="7">
        <f>+VLOOKUP(B37,data!$C$11:$Z$58,4,FALSE)</f>
        <v>104</v>
      </c>
      <c r="F37" s="7">
        <f>+VLOOKUP(B37,data!$C$11:$Z$58,5,FALSE)</f>
        <v>97</v>
      </c>
      <c r="G37" s="7">
        <f t="shared" si="1"/>
        <v>107</v>
      </c>
      <c r="K37" s="6">
        <v>33</v>
      </c>
      <c r="L37" s="23">
        <f>+VLOOKUP(B37,data!$C$11:$U$58,16,0)</f>
        <v>2.7E-2</v>
      </c>
      <c r="M37" s="23">
        <f>+VLOOKUP(B37,data!$C$11:$U$58,17,0)</f>
        <v>7.5999999999999998E-2</v>
      </c>
      <c r="N37" s="23">
        <f>+VLOOKUP(B37,data!$C$11:$U$58,18,0)</f>
        <v>6.3E-2</v>
      </c>
      <c r="O37" s="23">
        <f>+VLOOKUP(B37,data!$C$11:$U$58,19,0)</f>
        <v>7.0999999999999994E-2</v>
      </c>
      <c r="P37" s="23">
        <f t="shared" si="0"/>
        <v>5.9249999999999997E-2</v>
      </c>
      <c r="Q37" s="23">
        <f t="shared" si="2"/>
        <v>5.9249999999999997E-2</v>
      </c>
      <c r="R37" s="6">
        <v>33</v>
      </c>
      <c r="S37" s="23">
        <f>+VLOOKUP(B37,data!$C$11:$AA$58,21,FALSE)</f>
        <v>0.91200000000000003</v>
      </c>
      <c r="T37" s="23">
        <f>VLOOKUP(B37,data!$C$11:$AA$58,22,FALSE)</f>
        <v>0.91559999999999997</v>
      </c>
      <c r="U37" s="23">
        <f>+VLOOKUP(B37,data!$C$11:$AA$58,23,FALSE)</f>
        <v>0.9133</v>
      </c>
      <c r="V37" s="23">
        <f>+VLOOKUP(B37,data!$C$11:$AA$58,24,FALSE)</f>
        <v>0.91869999999999996</v>
      </c>
      <c r="W37" s="23">
        <f t="shared" si="3"/>
        <v>0.91489999999999994</v>
      </c>
    </row>
    <row r="38" spans="2:23" x14ac:dyDescent="0.25">
      <c r="B38" s="6">
        <v>34</v>
      </c>
      <c r="C38" s="7">
        <f>+VLOOKUP(B38,data!$C$11:$Z$58,2,FALSE)</f>
        <v>116</v>
      </c>
      <c r="D38" s="7">
        <f>+VLOOKUP(B38,data!$C$11:$Z$58,3,FALSE)</f>
        <v>129</v>
      </c>
      <c r="E38" s="7">
        <f>+VLOOKUP(B38,data!$C$11:$Z$58,4,FALSE)</f>
        <v>132</v>
      </c>
      <c r="F38" s="7">
        <f>+VLOOKUP(B38,data!$C$11:$Z$58,5,FALSE)</f>
        <v>89</v>
      </c>
      <c r="G38" s="7">
        <f t="shared" si="1"/>
        <v>116.5</v>
      </c>
      <c r="K38" s="6">
        <v>34</v>
      </c>
      <c r="L38" s="23">
        <f>+VLOOKUP(B38,data!$C$11:$U$58,16,0)</f>
        <v>5.8000000000000003E-2</v>
      </c>
      <c r="M38" s="23">
        <f>+VLOOKUP(B38,data!$C$11:$U$58,17,0)</f>
        <v>5.8999999999999997E-2</v>
      </c>
      <c r="N38" s="23">
        <f>+VLOOKUP(B38,data!$C$11:$U$58,18,0)</f>
        <v>8.1000000000000003E-2</v>
      </c>
      <c r="O38" s="23">
        <f>+VLOOKUP(B38,data!$C$11:$U$58,19,0)</f>
        <v>0.04</v>
      </c>
      <c r="P38" s="23">
        <f t="shared" si="0"/>
        <v>5.9500000000000004E-2</v>
      </c>
      <c r="Q38" s="23">
        <f t="shared" si="2"/>
        <v>5.9500000000000004E-2</v>
      </c>
      <c r="R38" s="6">
        <v>34</v>
      </c>
      <c r="S38" s="23">
        <f>+VLOOKUP(B38,data!$C$11:$AA$58,21,FALSE)</f>
        <v>0.91320000000000001</v>
      </c>
      <c r="T38" s="23">
        <f>VLOOKUP(B38,data!$C$11:$AA$58,22,FALSE)</f>
        <v>0.9143</v>
      </c>
      <c r="U38" s="23">
        <f>+VLOOKUP(B38,data!$C$11:$AA$58,23,FALSE)</f>
        <v>0.91790000000000005</v>
      </c>
      <c r="V38" s="23">
        <f>+VLOOKUP(B38,data!$C$11:$AA$58,24,FALSE)</f>
        <v>0.90910000000000002</v>
      </c>
      <c r="W38" s="23">
        <f t="shared" si="3"/>
        <v>0.91362500000000002</v>
      </c>
    </row>
    <row r="39" spans="2:23" x14ac:dyDescent="0.25">
      <c r="B39" s="6">
        <v>35</v>
      </c>
      <c r="C39" s="7">
        <f>+VLOOKUP(B39,data!$C$11:$Z$58,2,FALSE)</f>
        <v>148</v>
      </c>
      <c r="D39" s="7">
        <f>+VLOOKUP(B39,data!$C$11:$Z$58,3,FALSE)</f>
        <v>157</v>
      </c>
      <c r="E39" s="7">
        <f>+VLOOKUP(B39,data!$C$11:$Z$58,4,FALSE)</f>
        <v>106</v>
      </c>
      <c r="F39" s="7">
        <f>+VLOOKUP(B39,data!$C$11:$Z$58,5,FALSE)</f>
        <v>110</v>
      </c>
      <c r="G39" s="7">
        <f t="shared" si="1"/>
        <v>130.25</v>
      </c>
      <c r="K39" s="6">
        <v>35</v>
      </c>
      <c r="L39" s="23">
        <f>+VLOOKUP(B39,data!$C$11:$U$58,16,0)</f>
        <v>3.1E-2</v>
      </c>
      <c r="M39" s="23">
        <f>+VLOOKUP(B39,data!$C$11:$U$58,17,0)</f>
        <v>6.9000000000000006E-2</v>
      </c>
      <c r="N39" s="23">
        <f>+VLOOKUP(B39,data!$C$11:$U$58,18,0)</f>
        <v>8.6999999999999994E-2</v>
      </c>
      <c r="O39" s="23">
        <f>+VLOOKUP(B39,data!$C$11:$U$58,19,0)</f>
        <v>0.05</v>
      </c>
      <c r="P39" s="23">
        <f t="shared" si="0"/>
        <v>5.9249999999999997E-2</v>
      </c>
      <c r="Q39" s="23">
        <f t="shared" si="2"/>
        <v>5.9249999999999997E-2</v>
      </c>
      <c r="R39" s="6">
        <v>35</v>
      </c>
      <c r="S39" s="23">
        <f>+VLOOKUP(B39,data!$C$11:$AA$58,21,FALSE)</f>
        <v>0.91359999999999997</v>
      </c>
      <c r="T39" s="23">
        <f>VLOOKUP(B39,data!$C$11:$AA$58,22,FALSE)</f>
        <v>0.91349999999999998</v>
      </c>
      <c r="U39" s="23">
        <f>+VLOOKUP(B39,data!$C$11:$AA$58,23,FALSE)</f>
        <v>0.90980000000000005</v>
      </c>
      <c r="V39" s="23">
        <f>+VLOOKUP(B39,data!$C$11:$AA$58,24,FALSE)</f>
        <v>0.91600000000000004</v>
      </c>
      <c r="W39" s="23">
        <f t="shared" si="3"/>
        <v>0.91322499999999995</v>
      </c>
    </row>
    <row r="40" spans="2:23" ht="15" thickBot="1" x14ac:dyDescent="0.3">
      <c r="B40" s="15">
        <v>36</v>
      </c>
      <c r="C40" s="7">
        <f>+VLOOKUP(B40,data!$C$11:$Z$58,2,FALSE)</f>
        <v>68</v>
      </c>
      <c r="D40" s="7">
        <f>+VLOOKUP(B40,data!$C$11:$Z$58,3,FALSE)</f>
        <v>120</v>
      </c>
      <c r="E40" s="7">
        <f>+VLOOKUP(B40,data!$C$11:$Z$58,4,FALSE)</f>
        <v>167</v>
      </c>
      <c r="F40" s="7">
        <f>+VLOOKUP(B40,data!$C$11:$Z$58,5,FALSE)</f>
        <v>118</v>
      </c>
      <c r="G40" s="7">
        <f t="shared" si="1"/>
        <v>118.25</v>
      </c>
      <c r="K40" s="15">
        <v>36</v>
      </c>
      <c r="L40" s="23">
        <f>+VLOOKUP(B40,data!$C$11:$U$58,16,0)</f>
        <v>6.7000000000000004E-2</v>
      </c>
      <c r="M40" s="23">
        <f>+VLOOKUP(B40,data!$C$11:$U$58,17,0)</f>
        <v>8.9999999999999993E-3</v>
      </c>
      <c r="N40" s="23">
        <f>+VLOOKUP(B40,data!$C$11:$U$58,18,0)</f>
        <v>6.7000000000000004E-2</v>
      </c>
      <c r="O40" s="23">
        <f>+VLOOKUP(B40,data!$C$11:$U$58,19,0)</f>
        <v>4.8000000000000001E-2</v>
      </c>
      <c r="P40" s="23">
        <f t="shared" si="0"/>
        <v>4.7750000000000001E-2</v>
      </c>
      <c r="Q40" s="23">
        <f t="shared" si="2"/>
        <v>4.7750000000000001E-2</v>
      </c>
      <c r="R40" s="15">
        <v>36</v>
      </c>
      <c r="S40" s="23">
        <f>+VLOOKUP(B40,data!$C$11:$AA$58,21,FALSE)</f>
        <v>0.91320000000000001</v>
      </c>
      <c r="T40" s="23">
        <f>VLOOKUP(B40,data!$C$11:$AA$58,22,FALSE)</f>
        <v>0.91820000000000002</v>
      </c>
      <c r="U40" s="23">
        <f>+VLOOKUP(B40,data!$C$11:$AA$58,23,FALSE)</f>
        <v>0.90949999999999998</v>
      </c>
      <c r="V40" s="23">
        <f>+VLOOKUP(B40,data!$C$11:$AA$58,24,FALSE)</f>
        <v>0.91390000000000005</v>
      </c>
      <c r="W40" s="23">
        <f t="shared" si="3"/>
        <v>0.91369999999999996</v>
      </c>
    </row>
    <row r="41" spans="2:23" x14ac:dyDescent="0.25">
      <c r="B41" s="11">
        <v>37</v>
      </c>
      <c r="C41" s="7">
        <f>+VLOOKUP(B41,data!$C$11:$Z$58,2,FALSE)</f>
        <v>158</v>
      </c>
      <c r="D41" s="7">
        <f>+VLOOKUP(B41,data!$C$11:$Z$58,3,FALSE)</f>
        <v>105</v>
      </c>
      <c r="E41" s="7">
        <f>+VLOOKUP(B41,data!$C$11:$Z$58,4,FALSE)</f>
        <v>102</v>
      </c>
      <c r="F41" s="7">
        <f>+VLOOKUP(B41,data!$C$11:$Z$58,5,FALSE)</f>
        <v>82</v>
      </c>
      <c r="G41" s="7">
        <f t="shared" si="1"/>
        <v>111.75</v>
      </c>
      <c r="K41" s="11">
        <v>37</v>
      </c>
      <c r="L41" s="23">
        <f>+VLOOKUP(B41,data!$C$11:$U$58,16,0)</f>
        <v>1.0999999999999999E-2</v>
      </c>
      <c r="M41" s="23">
        <f>+VLOOKUP(B41,data!$C$11:$U$58,17,0)</f>
        <v>4.9000000000000002E-2</v>
      </c>
      <c r="N41" s="23">
        <f>+VLOOKUP(B41,data!$C$11:$U$58,18,0)</f>
        <v>1.0999999999999999E-2</v>
      </c>
      <c r="O41" s="23">
        <f>+VLOOKUP(B41,data!$C$11:$U$58,19,0)</f>
        <v>4.2999999999999997E-2</v>
      </c>
      <c r="P41" s="23">
        <f t="shared" si="0"/>
        <v>2.8499999999999998E-2</v>
      </c>
      <c r="Q41" s="23">
        <f t="shared" si="2"/>
        <v>2.8499999999999998E-2</v>
      </c>
      <c r="R41" s="11">
        <v>37</v>
      </c>
      <c r="S41" s="23">
        <f>+VLOOKUP(B41,data!$C$11:$AA$58,21,FALSE)</f>
        <v>0.91</v>
      </c>
      <c r="T41" s="23">
        <f>VLOOKUP(B41,data!$C$11:$AA$58,22,FALSE)</f>
        <v>0.91090000000000004</v>
      </c>
      <c r="U41" s="23">
        <f>+VLOOKUP(B41,data!$C$11:$AA$58,23,FALSE)</f>
        <v>0.91910000000000003</v>
      </c>
      <c r="V41" s="23">
        <f>+VLOOKUP(B41,data!$C$11:$AA$58,24,FALSE)</f>
        <v>0.91600000000000004</v>
      </c>
      <c r="W41" s="23">
        <f t="shared" si="3"/>
        <v>0.91400000000000003</v>
      </c>
    </row>
    <row r="42" spans="2:23" x14ac:dyDescent="0.25">
      <c r="B42" s="6">
        <v>38</v>
      </c>
      <c r="C42" s="7">
        <f>+VLOOKUP(B42,data!$C$11:$Z$58,2,FALSE)</f>
        <v>140</v>
      </c>
      <c r="D42" s="7">
        <f>+VLOOKUP(B42,data!$C$11:$Z$58,3,FALSE)</f>
        <v>154</v>
      </c>
      <c r="E42" s="7">
        <f>+VLOOKUP(B42,data!$C$11:$Z$58,4,FALSE)</f>
        <v>157</v>
      </c>
      <c r="F42" s="7">
        <f>+VLOOKUP(B42,data!$C$11:$Z$58,5,FALSE)</f>
        <v>118</v>
      </c>
      <c r="G42" s="7">
        <f t="shared" si="1"/>
        <v>142.25</v>
      </c>
      <c r="K42" s="6">
        <v>38</v>
      </c>
      <c r="L42" s="23">
        <f>+VLOOKUP(B42,data!$C$11:$U$58,16,0)</f>
        <v>7.8E-2</v>
      </c>
      <c r="M42" s="23">
        <f>+VLOOKUP(B42,data!$C$11:$U$58,17,0)</f>
        <v>9.9000000000000005E-2</v>
      </c>
      <c r="N42" s="23">
        <f>+VLOOKUP(B42,data!$C$11:$U$58,18,0)</f>
        <v>5.8000000000000003E-2</v>
      </c>
      <c r="O42" s="23">
        <f>+VLOOKUP(B42,data!$C$11:$U$58,19,0)</f>
        <v>4.8000000000000001E-2</v>
      </c>
      <c r="P42" s="23">
        <f t="shared" si="0"/>
        <v>7.0749999999999993E-2</v>
      </c>
      <c r="Q42" s="23">
        <f t="shared" si="2"/>
        <v>7.0749999999999993E-2</v>
      </c>
      <c r="R42" s="6">
        <v>38</v>
      </c>
      <c r="S42" s="23">
        <f>+VLOOKUP(B42,data!$C$11:$AA$58,21,FALSE)</f>
        <v>0.91410000000000002</v>
      </c>
      <c r="T42" s="23">
        <f>VLOOKUP(B42,data!$C$11:$AA$58,22,FALSE)</f>
        <v>0.91420000000000001</v>
      </c>
      <c r="U42" s="23">
        <f>+VLOOKUP(B42,data!$C$11:$AA$58,23,FALSE)</f>
        <v>0.91190000000000004</v>
      </c>
      <c r="V42" s="23">
        <f>+VLOOKUP(B42,data!$C$11:$AA$58,24,FALSE)</f>
        <v>0.9123</v>
      </c>
      <c r="W42" s="23">
        <f t="shared" si="3"/>
        <v>0.91312500000000008</v>
      </c>
    </row>
    <row r="43" spans="2:23" x14ac:dyDescent="0.25">
      <c r="B43" s="6">
        <v>39</v>
      </c>
      <c r="C43" s="7">
        <f>+VLOOKUP(B43,data!$C$11:$Z$58,2,FALSE)</f>
        <v>77</v>
      </c>
      <c r="D43" s="7">
        <f>+VLOOKUP(B43,data!$C$11:$Z$58,3,FALSE)</f>
        <v>86</v>
      </c>
      <c r="E43" s="7">
        <f>+VLOOKUP(B43,data!$C$11:$Z$58,4,FALSE)</f>
        <v>163</v>
      </c>
      <c r="F43" s="7">
        <f>+VLOOKUP(B43,data!$C$11:$Z$58,5,FALSE)</f>
        <v>131</v>
      </c>
      <c r="G43" s="7">
        <f t="shared" si="1"/>
        <v>114.25</v>
      </c>
      <c r="K43" s="6">
        <v>39</v>
      </c>
      <c r="L43" s="23">
        <f>+VLOOKUP(B43,data!$C$11:$U$58,16,0)</f>
        <v>4.2000000000000003E-2</v>
      </c>
      <c r="M43" s="23">
        <f>+VLOOKUP(B43,data!$C$11:$U$58,17,0)</f>
        <v>3.2000000000000001E-2</v>
      </c>
      <c r="N43" s="23">
        <f>+VLOOKUP(B43,data!$C$11:$U$58,18,0)</f>
        <v>3.6999999999999998E-2</v>
      </c>
      <c r="O43" s="23">
        <f>+VLOOKUP(B43,data!$C$11:$U$58,19,0)</f>
        <v>3.1E-2</v>
      </c>
      <c r="P43" s="23">
        <f t="shared" si="0"/>
        <v>3.5500000000000004E-2</v>
      </c>
      <c r="Q43" s="23">
        <f t="shared" si="2"/>
        <v>3.5500000000000004E-2</v>
      </c>
      <c r="R43" s="6">
        <v>39</v>
      </c>
      <c r="S43" s="23">
        <f>+VLOOKUP(B43,data!$C$11:$AA$58,21,FALSE)</f>
        <v>0.91239999999999999</v>
      </c>
      <c r="T43" s="23">
        <f>VLOOKUP(B43,data!$C$11:$AA$58,22,FALSE)</f>
        <v>0.91180000000000005</v>
      </c>
      <c r="U43" s="23">
        <f>+VLOOKUP(B43,data!$C$11:$AA$58,23,FALSE)</f>
        <v>0.90939999999999999</v>
      </c>
      <c r="V43" s="23">
        <f>+VLOOKUP(B43,data!$C$11:$AA$58,24,FALSE)</f>
        <v>0.91139999999999999</v>
      </c>
      <c r="W43" s="23">
        <f t="shared" si="3"/>
        <v>0.91125</v>
      </c>
    </row>
    <row r="44" spans="2:23" x14ac:dyDescent="0.25">
      <c r="B44" s="6">
        <v>40</v>
      </c>
      <c r="C44" s="7">
        <f>+VLOOKUP(B44,data!$C$11:$Z$58,2,FALSE)</f>
        <v>165</v>
      </c>
      <c r="D44" s="7">
        <f>+VLOOKUP(B44,data!$C$11:$Z$58,3,FALSE)</f>
        <v>92</v>
      </c>
      <c r="E44" s="7">
        <f>+VLOOKUP(B44,data!$C$11:$Z$58,4,FALSE)</f>
        <v>167</v>
      </c>
      <c r="F44" s="7">
        <f>+VLOOKUP(B44,data!$C$11:$Z$58,5,FALSE)</f>
        <v>94</v>
      </c>
      <c r="G44" s="7">
        <f t="shared" si="1"/>
        <v>129.5</v>
      </c>
      <c r="K44" s="6">
        <v>40</v>
      </c>
      <c r="L44" s="23">
        <f>+VLOOKUP(B44,data!$C$11:$U$58,16,0)</f>
        <v>0</v>
      </c>
      <c r="M44" s="23">
        <f>+VLOOKUP(B44,data!$C$11:$U$58,17,0)</f>
        <v>1.2E-2</v>
      </c>
      <c r="N44" s="23">
        <f>+VLOOKUP(B44,data!$C$11:$U$58,18,0)</f>
        <v>6.7000000000000004E-2</v>
      </c>
      <c r="O44" s="23">
        <f>+VLOOKUP(B44,data!$C$11:$U$58,19,0)</f>
        <v>0.09</v>
      </c>
      <c r="P44" s="23">
        <f t="shared" si="0"/>
        <v>4.2249999999999996E-2</v>
      </c>
      <c r="Q44" s="23">
        <f t="shared" si="2"/>
        <v>4.2249999999999996E-2</v>
      </c>
      <c r="R44" s="6">
        <v>40</v>
      </c>
      <c r="S44" s="23">
        <f>+VLOOKUP(B44,data!$C$11:$AA$58,21,FALSE)</f>
        <v>0.90980000000000005</v>
      </c>
      <c r="T44" s="23">
        <f>VLOOKUP(B44,data!$C$11:$AA$58,22,FALSE)</f>
        <v>0.91110000000000002</v>
      </c>
      <c r="U44" s="23">
        <f>+VLOOKUP(B44,data!$C$11:$AA$58,23,FALSE)</f>
        <v>0.91300000000000003</v>
      </c>
      <c r="V44" s="23">
        <f>+VLOOKUP(B44,data!$C$11:$AA$58,24,FALSE)</f>
        <v>0.91059999999999997</v>
      </c>
      <c r="W44" s="23">
        <f t="shared" si="3"/>
        <v>0.91112500000000007</v>
      </c>
    </row>
    <row r="45" spans="2:23" x14ac:dyDescent="0.25">
      <c r="B45" s="6">
        <v>41</v>
      </c>
      <c r="C45" s="7">
        <f>+VLOOKUP(B45,data!$C$11:$Z$58,2,FALSE)</f>
        <v>118</v>
      </c>
      <c r="D45" s="7">
        <f>+VLOOKUP(B45,data!$C$11:$Z$58,3,FALSE)</f>
        <v>79</v>
      </c>
      <c r="E45" s="7">
        <f>+VLOOKUP(B45,data!$C$11:$Z$58,4,FALSE)</f>
        <v>61</v>
      </c>
      <c r="F45" s="7">
        <f>+VLOOKUP(B45,data!$C$11:$Z$58,5,FALSE)</f>
        <v>166</v>
      </c>
      <c r="G45" s="7">
        <f t="shared" si="1"/>
        <v>106</v>
      </c>
      <c r="K45" s="6">
        <v>41</v>
      </c>
      <c r="L45" s="23">
        <f>+VLOOKUP(B45,data!$C$11:$U$58,16,0)</f>
        <v>2.5999999999999999E-2</v>
      </c>
      <c r="M45" s="23">
        <f>+VLOOKUP(B45,data!$C$11:$U$58,17,0)</f>
        <v>8.7999999999999995E-2</v>
      </c>
      <c r="N45" s="23">
        <f>+VLOOKUP(B45,data!$C$11:$U$58,18,0)</f>
        <v>0.08</v>
      </c>
      <c r="O45" s="23">
        <f>+VLOOKUP(B45,data!$C$11:$U$58,19,0)</f>
        <v>2.1000000000000001E-2</v>
      </c>
      <c r="P45" s="23">
        <f t="shared" si="0"/>
        <v>5.3749999999999999E-2</v>
      </c>
      <c r="Q45" s="23">
        <f t="shared" si="2"/>
        <v>5.3749999999999999E-2</v>
      </c>
      <c r="R45" s="6">
        <v>41</v>
      </c>
      <c r="S45" s="23">
        <f>+VLOOKUP(B45,data!$C$11:$AA$58,21,FALSE)</f>
        <v>0.91320000000000001</v>
      </c>
      <c r="T45" s="23">
        <f>VLOOKUP(B45,data!$C$11:$AA$58,22,FALSE)</f>
        <v>0.91259999999999997</v>
      </c>
      <c r="U45" s="23">
        <f>+VLOOKUP(B45,data!$C$11:$AA$58,23,FALSE)</f>
        <v>0.91739999999999999</v>
      </c>
      <c r="V45" s="23">
        <f>+VLOOKUP(B45,data!$C$11:$AA$58,24,FALSE)</f>
        <v>0.91090000000000004</v>
      </c>
      <c r="W45" s="23">
        <f t="shared" si="3"/>
        <v>0.91352499999999992</v>
      </c>
    </row>
    <row r="46" spans="2:23" x14ac:dyDescent="0.25">
      <c r="B46" s="6">
        <v>42</v>
      </c>
      <c r="C46" s="7">
        <f>+VLOOKUP(B46,data!$C$11:$Z$58,2,FALSE)</f>
        <v>167</v>
      </c>
      <c r="D46" s="7">
        <f>+VLOOKUP(B46,data!$C$11:$Z$58,3,FALSE)</f>
        <v>87</v>
      </c>
      <c r="E46" s="7">
        <f>+VLOOKUP(B46,data!$C$11:$Z$58,4,FALSE)</f>
        <v>72</v>
      </c>
      <c r="F46" s="7">
        <f>+VLOOKUP(B46,data!$C$11:$Z$58,5,FALSE)</f>
        <v>89</v>
      </c>
      <c r="G46" s="7">
        <f t="shared" si="1"/>
        <v>103.75</v>
      </c>
      <c r="K46" s="6">
        <v>42</v>
      </c>
      <c r="L46" s="23">
        <f>+VLOOKUP(B46,data!$C$11:$U$58,16,0)</f>
        <v>2.8000000000000001E-2</v>
      </c>
      <c r="M46" s="23">
        <f>+VLOOKUP(B46,data!$C$11:$U$58,17,0)</f>
        <v>6.5000000000000002E-2</v>
      </c>
      <c r="N46" s="23">
        <f>+VLOOKUP(B46,data!$C$11:$U$58,18,0)</f>
        <v>3.5999999999999997E-2</v>
      </c>
      <c r="O46" s="23">
        <f>+VLOOKUP(B46,data!$C$11:$U$58,19,0)</f>
        <v>7.4999999999999997E-2</v>
      </c>
      <c r="P46" s="23">
        <f t="shared" si="0"/>
        <v>5.1000000000000004E-2</v>
      </c>
      <c r="Q46" s="23">
        <f t="shared" si="2"/>
        <v>5.1000000000000004E-2</v>
      </c>
      <c r="R46" s="6">
        <v>42</v>
      </c>
      <c r="S46" s="23">
        <f>+VLOOKUP(B46,data!$C$11:$AA$58,21,FALSE)</f>
        <v>0.91120000000000001</v>
      </c>
      <c r="T46" s="23">
        <f>VLOOKUP(B46,data!$C$11:$AA$58,22,FALSE)</f>
        <v>0.9133</v>
      </c>
      <c r="U46" s="23">
        <f>+VLOOKUP(B46,data!$C$11:$AA$58,23,FALSE)</f>
        <v>0.9143</v>
      </c>
      <c r="V46" s="23">
        <f>+VLOOKUP(B46,data!$C$11:$AA$58,24,FALSE)</f>
        <v>0.91579999999999995</v>
      </c>
      <c r="W46" s="23">
        <f t="shared" si="3"/>
        <v>0.91364999999999996</v>
      </c>
    </row>
    <row r="47" spans="2:23" x14ac:dyDescent="0.25">
      <c r="B47" s="6">
        <v>43</v>
      </c>
      <c r="C47" s="7">
        <f>+VLOOKUP(B47,data!$C$11:$Z$58,2,FALSE)</f>
        <v>120</v>
      </c>
      <c r="D47" s="7">
        <f>+VLOOKUP(B47,data!$C$11:$Z$58,3,FALSE)</f>
        <v>123</v>
      </c>
      <c r="E47" s="7">
        <f>+VLOOKUP(B47,data!$C$11:$Z$58,4,FALSE)</f>
        <v>81</v>
      </c>
      <c r="F47" s="7">
        <f>+VLOOKUP(B47,data!$C$11:$Z$58,5,FALSE)</f>
        <v>117</v>
      </c>
      <c r="G47" s="7">
        <f t="shared" si="1"/>
        <v>110.25</v>
      </c>
      <c r="K47" s="6">
        <v>43</v>
      </c>
      <c r="L47" s="23">
        <f>+VLOOKUP(B47,data!$C$11:$U$58,16,0)</f>
        <v>6.5000000000000002E-2</v>
      </c>
      <c r="M47" s="23">
        <f>+VLOOKUP(B47,data!$C$11:$U$58,17,0)</f>
        <v>4.1000000000000002E-2</v>
      </c>
      <c r="N47" s="23">
        <f>+VLOOKUP(B47,data!$C$11:$U$58,18,0)</f>
        <v>9.8000000000000004E-2</v>
      </c>
      <c r="O47" s="23">
        <f>+VLOOKUP(B47,data!$C$11:$U$58,19,0)</f>
        <v>2.7E-2</v>
      </c>
      <c r="P47" s="23">
        <f t="shared" si="0"/>
        <v>5.7750000000000003E-2</v>
      </c>
      <c r="Q47" s="23">
        <f t="shared" si="2"/>
        <v>5.7750000000000003E-2</v>
      </c>
      <c r="R47" s="6">
        <v>43</v>
      </c>
      <c r="S47" s="23">
        <f>+VLOOKUP(B47,data!$C$11:$AA$58,21,FALSE)</f>
        <v>0.91590000000000005</v>
      </c>
      <c r="T47" s="23">
        <f>VLOOKUP(B47,data!$C$11:$AA$58,22,FALSE)</f>
        <v>0.9123</v>
      </c>
      <c r="U47" s="23">
        <f>+VLOOKUP(B47,data!$C$11:$AA$58,23,FALSE)</f>
        <v>0.91759999999999997</v>
      </c>
      <c r="V47" s="23">
        <f>+VLOOKUP(B47,data!$C$11:$AA$58,24,FALSE)</f>
        <v>0.91100000000000003</v>
      </c>
      <c r="W47" s="23">
        <f t="shared" si="3"/>
        <v>0.91420000000000001</v>
      </c>
    </row>
    <row r="48" spans="2:23" x14ac:dyDescent="0.25">
      <c r="B48" s="6">
        <v>44</v>
      </c>
      <c r="C48" s="7">
        <f>+VLOOKUP(B48,data!$C$11:$Z$58,2,FALSE)</f>
        <v>123</v>
      </c>
      <c r="D48" s="7">
        <f>+VLOOKUP(B48,data!$C$11:$Z$58,3,FALSE)</f>
        <v>136</v>
      </c>
      <c r="E48" s="7">
        <f>+VLOOKUP(B48,data!$C$11:$Z$58,4,FALSE)</f>
        <v>139</v>
      </c>
      <c r="F48" s="7">
        <f>+VLOOKUP(B48,data!$C$11:$Z$58,5,FALSE)</f>
        <v>89</v>
      </c>
      <c r="G48" s="7">
        <f t="shared" si="1"/>
        <v>121.75</v>
      </c>
      <c r="K48" s="6">
        <v>44</v>
      </c>
      <c r="L48" s="23">
        <f>+VLOOKUP(B48,data!$C$11:$U$58,16,0)</f>
        <v>5.6000000000000001E-2</v>
      </c>
      <c r="M48" s="23">
        <f>+VLOOKUP(B48,data!$C$11:$U$58,17,0)</f>
        <v>2.3E-2</v>
      </c>
      <c r="N48" s="23">
        <f>+VLOOKUP(B48,data!$C$11:$U$58,18,0)</f>
        <v>7.4999999999999997E-2</v>
      </c>
      <c r="O48" s="23">
        <f>+VLOOKUP(B48,data!$C$11:$U$58,19,0)</f>
        <v>1.4E-2</v>
      </c>
      <c r="P48" s="23">
        <f t="shared" si="0"/>
        <v>4.2000000000000003E-2</v>
      </c>
      <c r="Q48" s="23">
        <f t="shared" si="2"/>
        <v>4.2000000000000003E-2</v>
      </c>
      <c r="R48" s="6">
        <v>44</v>
      </c>
      <c r="S48" s="23">
        <f>+VLOOKUP(B48,data!$C$11:$AA$58,21,FALSE)</f>
        <v>0.91269999999999996</v>
      </c>
      <c r="T48" s="23">
        <f>VLOOKUP(B48,data!$C$11:$AA$58,22,FALSE)</f>
        <v>0.91169999999999995</v>
      </c>
      <c r="U48" s="23">
        <f>+VLOOKUP(B48,data!$C$11:$AA$58,23,FALSE)</f>
        <v>0.91700000000000004</v>
      </c>
      <c r="V48" s="23">
        <f>+VLOOKUP(B48,data!$C$11:$AA$58,24,FALSE)</f>
        <v>0.90949999999999998</v>
      </c>
      <c r="W48" s="23">
        <f t="shared" si="3"/>
        <v>0.9127249999999999</v>
      </c>
    </row>
    <row r="49" spans="2:23" x14ac:dyDescent="0.25">
      <c r="B49" s="6">
        <v>45</v>
      </c>
      <c r="C49" s="7">
        <f>+VLOOKUP(B49,data!$C$11:$Z$58,2,FALSE)</f>
        <v>64</v>
      </c>
      <c r="D49" s="7">
        <f>+VLOOKUP(B49,data!$C$11:$Z$58,3,FALSE)</f>
        <v>163</v>
      </c>
      <c r="E49" s="7">
        <f>+VLOOKUP(B49,data!$C$11:$Z$58,4,FALSE)</f>
        <v>146</v>
      </c>
      <c r="F49" s="7">
        <f>+VLOOKUP(B49,data!$C$11:$Z$58,5,FALSE)</f>
        <v>67</v>
      </c>
      <c r="G49" s="7">
        <f t="shared" si="1"/>
        <v>110</v>
      </c>
      <c r="K49" s="6">
        <v>45</v>
      </c>
      <c r="L49" s="23">
        <f>+VLOOKUP(B49,data!$C$11:$U$58,16,0)</f>
        <v>8.9999999999999993E-3</v>
      </c>
      <c r="M49" s="23">
        <f>+VLOOKUP(B49,data!$C$11:$U$58,17,0)</f>
        <v>2.1000000000000001E-2</v>
      </c>
      <c r="N49" s="23">
        <f>+VLOOKUP(B49,data!$C$11:$U$58,18,0)</f>
        <v>4.5999999999999999E-2</v>
      </c>
      <c r="O49" s="23">
        <f>+VLOOKUP(B49,data!$C$11:$U$58,19,0)</f>
        <v>2.3E-2</v>
      </c>
      <c r="P49" s="23">
        <f t="shared" si="0"/>
        <v>2.4750000000000001E-2</v>
      </c>
      <c r="Q49" s="23">
        <f t="shared" si="2"/>
        <v>2.4750000000000001E-2</v>
      </c>
      <c r="R49" s="6">
        <v>45</v>
      </c>
      <c r="S49" s="23">
        <f>+VLOOKUP(B49,data!$C$11:$AA$58,21,FALSE)</f>
        <v>0.9173</v>
      </c>
      <c r="T49" s="23">
        <f>VLOOKUP(B49,data!$C$11:$AA$58,22,FALSE)</f>
        <v>0.90980000000000005</v>
      </c>
      <c r="U49" s="23">
        <f>+VLOOKUP(B49,data!$C$11:$AA$58,23,FALSE)</f>
        <v>0.91710000000000003</v>
      </c>
      <c r="V49" s="23">
        <f>+VLOOKUP(B49,data!$C$11:$AA$58,24,FALSE)</f>
        <v>0.91090000000000004</v>
      </c>
      <c r="W49" s="23">
        <f t="shared" si="3"/>
        <v>0.913775</v>
      </c>
    </row>
    <row r="50" spans="2:23" x14ac:dyDescent="0.25">
      <c r="B50" s="6">
        <v>46</v>
      </c>
      <c r="C50" s="7">
        <f>+VLOOKUP(B50,data!$C$11:$Z$58,2,FALSE)</f>
        <v>124</v>
      </c>
      <c r="D50" s="7">
        <f>+VLOOKUP(B50,data!$C$11:$Z$58,3,FALSE)</f>
        <v>85</v>
      </c>
      <c r="E50" s="7">
        <f>+VLOOKUP(B50,data!$C$11:$Z$58,4,FALSE)</f>
        <v>100</v>
      </c>
      <c r="F50" s="7">
        <f>+VLOOKUP(B50,data!$C$11:$Z$58,5,FALSE)</f>
        <v>142</v>
      </c>
      <c r="G50" s="7">
        <f t="shared" si="1"/>
        <v>112.75</v>
      </c>
      <c r="K50" s="6">
        <v>46</v>
      </c>
      <c r="L50" s="23">
        <f>+VLOOKUP(B50,data!$C$11:$U$58,16,0)</f>
        <v>1E-3</v>
      </c>
      <c r="M50" s="23">
        <f>+VLOOKUP(B50,data!$C$11:$U$58,17,0)</f>
        <v>5.3999999999999999E-2</v>
      </c>
      <c r="N50" s="23">
        <f>+VLOOKUP(B50,data!$C$11:$U$58,18,0)</f>
        <v>3.6999999999999998E-2</v>
      </c>
      <c r="O50" s="23">
        <f>+VLOOKUP(B50,data!$C$11:$U$58,19,0)</f>
        <v>3.7999999999999999E-2</v>
      </c>
      <c r="P50" s="23">
        <f t="shared" si="0"/>
        <v>3.2500000000000001E-2</v>
      </c>
      <c r="Q50" s="23">
        <f t="shared" si="2"/>
        <v>3.2500000000000001E-2</v>
      </c>
      <c r="R50" s="6">
        <v>46</v>
      </c>
      <c r="S50" s="23">
        <f>+VLOOKUP(B50,data!$C$11:$AA$58,21,FALSE)</f>
        <v>0.90910000000000002</v>
      </c>
      <c r="T50" s="23">
        <f>VLOOKUP(B50,data!$C$11:$AA$58,22,FALSE)</f>
        <v>0.91659999999999997</v>
      </c>
      <c r="U50" s="23">
        <f>+VLOOKUP(B50,data!$C$11:$AA$58,23,FALSE)</f>
        <v>0.91159999999999997</v>
      </c>
      <c r="V50" s="23">
        <f>+VLOOKUP(B50,data!$C$11:$AA$58,24,FALSE)</f>
        <v>0.9123</v>
      </c>
      <c r="W50" s="23">
        <f t="shared" si="3"/>
        <v>0.91239999999999999</v>
      </c>
    </row>
    <row r="51" spans="2:23" x14ac:dyDescent="0.25">
      <c r="B51" s="6">
        <v>47</v>
      </c>
      <c r="C51" s="7">
        <f>+VLOOKUP(B51,data!$C$11:$Z$58,2,FALSE)</f>
        <v>69</v>
      </c>
      <c r="D51" s="7">
        <f>+VLOOKUP(B51,data!$C$11:$Z$58,3,FALSE)</f>
        <v>158</v>
      </c>
      <c r="E51" s="7">
        <f>+VLOOKUP(B51,data!$C$11:$Z$58,4,FALSE)</f>
        <v>61</v>
      </c>
      <c r="F51" s="7">
        <f>+VLOOKUP(B51,data!$C$11:$Z$58,5,FALSE)</f>
        <v>81</v>
      </c>
      <c r="G51" s="7">
        <f t="shared" si="1"/>
        <v>92.25</v>
      </c>
      <c r="K51" s="6">
        <v>47</v>
      </c>
      <c r="L51" s="23">
        <f>+VLOOKUP(B51,data!$C$11:$U$58,16,0)</f>
        <v>1.2999999999999999E-2</v>
      </c>
      <c r="M51" s="23">
        <f>+VLOOKUP(B51,data!$C$11:$U$58,17,0)</f>
        <v>1.0999999999999999E-2</v>
      </c>
      <c r="N51" s="23">
        <f>+VLOOKUP(B51,data!$C$11:$U$58,18,0)</f>
        <v>6.4000000000000001E-2</v>
      </c>
      <c r="O51" s="23">
        <f>+VLOOKUP(B51,data!$C$11:$U$58,19,0)</f>
        <v>2E-3</v>
      </c>
      <c r="P51" s="23">
        <f t="shared" si="0"/>
        <v>2.2499999999999999E-2</v>
      </c>
      <c r="Q51" s="23">
        <f t="shared" si="2"/>
        <v>2.2499999999999999E-2</v>
      </c>
      <c r="R51" s="6">
        <v>47</v>
      </c>
      <c r="S51" s="23">
        <f>+VLOOKUP(B51,data!$C$11:$AA$58,21,FALSE)</f>
        <v>0.91720000000000002</v>
      </c>
      <c r="T51" s="23">
        <f>VLOOKUP(B51,data!$C$11:$AA$58,22,FALSE)</f>
        <v>0.91910000000000003</v>
      </c>
      <c r="U51" s="23">
        <f>+VLOOKUP(B51,data!$C$11:$AA$58,23,FALSE)</f>
        <v>0.91600000000000004</v>
      </c>
      <c r="V51" s="23">
        <f>+VLOOKUP(B51,data!$C$11:$AA$58,24,FALSE)</f>
        <v>0.91279999999999994</v>
      </c>
      <c r="W51" s="23">
        <f t="shared" si="3"/>
        <v>0.91627499999999995</v>
      </c>
    </row>
    <row r="52" spans="2:23" ht="15" thickBot="1" x14ac:dyDescent="0.3">
      <c r="B52" s="15">
        <v>48</v>
      </c>
      <c r="C52" s="7">
        <f>+VLOOKUP(B52,data!$C$11:$Z$58,2,FALSE)</f>
        <v>107</v>
      </c>
      <c r="D52" s="7">
        <f>+VLOOKUP(B52,data!$C$11:$Z$58,3,FALSE)</f>
        <v>105</v>
      </c>
      <c r="E52" s="7">
        <f>+VLOOKUP(B52,data!$C$11:$Z$58,4,FALSE)</f>
        <v>108</v>
      </c>
      <c r="F52" s="7">
        <f>+VLOOKUP(B52,data!$C$11:$Z$58,5,FALSE)</f>
        <v>123</v>
      </c>
      <c r="G52" s="7">
        <f t="shared" si="1"/>
        <v>110.75</v>
      </c>
      <c r="K52" s="15">
        <v>48</v>
      </c>
      <c r="L52" s="23">
        <f>+VLOOKUP(B52,data!$C$11:$U$58,16,0)</f>
        <v>6.6000000000000003E-2</v>
      </c>
      <c r="M52" s="23">
        <f>+VLOOKUP(B52,data!$C$11:$U$58,17,0)</f>
        <v>5.2999999999999999E-2</v>
      </c>
      <c r="N52" s="23">
        <f>+VLOOKUP(B52,data!$C$11:$U$58,18,0)</f>
        <v>0.09</v>
      </c>
      <c r="O52" s="23">
        <f>+VLOOKUP(B52,data!$C$11:$U$58,19,0)</f>
        <v>7.4999999999999997E-2</v>
      </c>
      <c r="P52" s="23">
        <f t="shared" si="0"/>
        <v>7.0999999999999994E-2</v>
      </c>
      <c r="Q52" s="23">
        <f t="shared" si="2"/>
        <v>7.0999999999999994E-2</v>
      </c>
      <c r="R52" s="15">
        <v>48</v>
      </c>
      <c r="S52" s="23">
        <f>+VLOOKUP(B52,data!$C$11:$AA$58,21,FALSE)</f>
        <v>0.9113</v>
      </c>
      <c r="T52" s="23">
        <f>VLOOKUP(B52,data!$C$11:$AA$58,22,FALSE)</f>
        <v>0.9113</v>
      </c>
      <c r="U52" s="23">
        <f>+VLOOKUP(B52,data!$C$11:$AA$58,23,FALSE)</f>
        <v>0.91310000000000002</v>
      </c>
      <c r="V52" s="23">
        <f>+VLOOKUP(B52,data!$C$11:$AA$58,24,FALSE)</f>
        <v>0.91110000000000002</v>
      </c>
      <c r="W52" s="23">
        <f t="shared" si="3"/>
        <v>0.91169999999999995</v>
      </c>
    </row>
    <row r="53" spans="2:23" x14ac:dyDescent="0.25">
      <c r="B53" s="7" t="s">
        <v>12</v>
      </c>
      <c r="C53" s="7">
        <f t="shared" ref="C53:J53" si="5">AVERAGE(C5:C52)</f>
        <v>113.8125</v>
      </c>
      <c r="D53" s="7">
        <f t="shared" si="5"/>
        <v>111.375</v>
      </c>
      <c r="E53" s="7">
        <f t="shared" si="5"/>
        <v>120.29166666666667</v>
      </c>
      <c r="F53" s="7" t="e">
        <f>+VLOOKUP(B53,data!$C$11:$Z$58,5,FALSE)</f>
        <v>#N/A</v>
      </c>
      <c r="G53" s="7">
        <f t="shared" si="5"/>
        <v>115.69791666666667</v>
      </c>
      <c r="H53" s="7" t="e">
        <f t="shared" si="5"/>
        <v>#DIV/0!</v>
      </c>
      <c r="I53" s="7" t="e">
        <f t="shared" si="5"/>
        <v>#DIV/0!</v>
      </c>
      <c r="J53" s="7">
        <f t="shared" si="5"/>
        <v>44.5</v>
      </c>
      <c r="K53" s="7" t="s">
        <v>12</v>
      </c>
      <c r="L53" s="7">
        <f>AVERAGE(L5:L52)</f>
        <v>4.374999999999999E-2</v>
      </c>
      <c r="M53" s="7">
        <f>AVERAGE(M5:M52)</f>
        <v>5.2458333333333329E-2</v>
      </c>
      <c r="N53" s="7">
        <f>AVERAGE(N5:N52)</f>
        <v>5.4145833333333331E-2</v>
      </c>
      <c r="O53" s="7">
        <f>AVERAGE(O5:O52)</f>
        <v>4.5916666666666668E-2</v>
      </c>
      <c r="P53" s="7">
        <f>AVERAGE(P5:P52)</f>
        <v>4.9067708333333349E-2</v>
      </c>
      <c r="R53" s="7" t="s">
        <v>12</v>
      </c>
      <c r="S53" s="7">
        <f>AVERAGE(S5:S52)</f>
        <v>0.91344583333333318</v>
      </c>
      <c r="T53" s="7">
        <f>AVERAGE(T5:T52)</f>
        <v>0.91442499999999971</v>
      </c>
      <c r="U53" s="7">
        <f>AVERAGE(U5:U52)</f>
        <v>0.91468958333333317</v>
      </c>
      <c r="V53" s="7">
        <f>AVERAGE(V5:V52)</f>
        <v>0.91671458333333311</v>
      </c>
      <c r="W53" s="7">
        <f>AVERAGE(W5:W52)</f>
        <v>0.9148187499999999</v>
      </c>
    </row>
    <row r="54" spans="2:23" x14ac:dyDescent="0.25">
      <c r="F54" s="7" t="e">
        <f>+VLOOKUP(B54,data!$C$11:$Z$58,5,FALSE)</f>
        <v>#N/A</v>
      </c>
    </row>
  </sheetData>
  <mergeCells count="3">
    <mergeCell ref="K2:O2"/>
    <mergeCell ref="B2:G2"/>
    <mergeCell ref="Q2:V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282D1-D40C-466D-92D0-1B849C9E1C25}">
  <dimension ref="A1:Y104"/>
  <sheetViews>
    <sheetView showGridLines="0" tabSelected="1" topLeftCell="A9" workbookViewId="0">
      <selection activeCell="N34" sqref="N34"/>
    </sheetView>
  </sheetViews>
  <sheetFormatPr defaultRowHeight="12.75" x14ac:dyDescent="0.2"/>
  <cols>
    <col min="13" max="13" width="2.28515625" customWidth="1"/>
    <col min="14" max="18" width="14.7109375" customWidth="1"/>
  </cols>
  <sheetData>
    <row r="1" spans="1:25" x14ac:dyDescent="0.2">
      <c r="A1" s="42"/>
      <c r="B1" s="42"/>
      <c r="C1" s="42"/>
      <c r="D1" s="42"/>
      <c r="E1" s="42"/>
      <c r="F1" s="42"/>
      <c r="G1" s="42"/>
      <c r="H1" s="42"/>
      <c r="I1" s="42"/>
      <c r="J1" s="51"/>
      <c r="K1" s="51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</row>
    <row r="2" spans="1:25" x14ac:dyDescent="0.2">
      <c r="A2" s="42"/>
      <c r="B2" s="42"/>
      <c r="C2" s="42"/>
      <c r="D2" s="42"/>
      <c r="E2" s="42"/>
      <c r="F2" s="42"/>
      <c r="G2" s="42"/>
      <c r="H2" s="42"/>
      <c r="I2" s="42"/>
      <c r="J2" s="51"/>
      <c r="K2" s="51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</row>
    <row r="3" spans="1:25" x14ac:dyDescent="0.2">
      <c r="A3" s="42"/>
      <c r="B3" s="42"/>
      <c r="C3" s="42"/>
      <c r="D3" s="42"/>
      <c r="E3" s="42"/>
      <c r="F3" s="42"/>
      <c r="G3" s="42"/>
      <c r="H3" s="42"/>
      <c r="I3" s="42"/>
      <c r="J3" s="51"/>
      <c r="K3" s="51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</row>
    <row r="4" spans="1:25" x14ac:dyDescent="0.2">
      <c r="A4" s="42"/>
      <c r="B4" s="42"/>
      <c r="C4" s="42"/>
      <c r="D4" s="42"/>
      <c r="E4" s="42"/>
      <c r="F4" s="42"/>
      <c r="G4" s="42"/>
      <c r="H4" s="42"/>
      <c r="I4" s="42"/>
      <c r="J4" s="51"/>
      <c r="K4" s="51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</row>
    <row r="5" spans="1:25" x14ac:dyDescent="0.2">
      <c r="A5" s="42"/>
      <c r="B5" s="42"/>
      <c r="C5" s="42"/>
      <c r="D5" s="42"/>
      <c r="E5" s="42"/>
      <c r="F5" s="42"/>
      <c r="G5" s="42"/>
      <c r="H5" s="42"/>
      <c r="I5" s="42"/>
      <c r="J5" s="51"/>
      <c r="K5" s="51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</row>
    <row r="6" spans="1:25" x14ac:dyDescent="0.2">
      <c r="A6" s="42"/>
      <c r="B6" s="42"/>
      <c r="C6" s="42"/>
      <c r="D6" s="42"/>
      <c r="E6" s="42"/>
      <c r="F6" s="42"/>
      <c r="G6" s="42"/>
      <c r="H6" s="42"/>
      <c r="I6" s="42"/>
      <c r="J6" s="51"/>
      <c r="K6" s="51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</row>
    <row r="7" spans="1:25" x14ac:dyDescent="0.2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</row>
    <row r="8" spans="1:25" x14ac:dyDescent="0.2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</row>
    <row r="9" spans="1:25" x14ac:dyDescent="0.2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</row>
    <row r="10" spans="1:25" x14ac:dyDescent="0.2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</row>
    <row r="11" spans="1:25" x14ac:dyDescent="0.2">
      <c r="A11" s="42"/>
      <c r="B11" s="42"/>
      <c r="C11" s="42"/>
      <c r="D11" s="42"/>
      <c r="E11" s="42"/>
      <c r="F11" s="42"/>
      <c r="G11" s="42"/>
      <c r="H11" s="42"/>
      <c r="I11" s="42"/>
      <c r="J11" s="51"/>
      <c r="K11" s="51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</row>
    <row r="12" spans="1:25" x14ac:dyDescent="0.2">
      <c r="A12" s="42"/>
      <c r="B12" s="42"/>
      <c r="C12" s="42"/>
      <c r="D12" s="42"/>
      <c r="E12" s="42"/>
      <c r="F12" s="42"/>
      <c r="G12" s="42"/>
      <c r="H12" s="42"/>
      <c r="I12" s="42"/>
      <c r="J12" s="51"/>
      <c r="K12" s="51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</row>
    <row r="13" spans="1:25" x14ac:dyDescent="0.2">
      <c r="A13" s="42"/>
      <c r="B13" s="42"/>
      <c r="C13" s="42"/>
      <c r="D13" s="42"/>
      <c r="E13" s="42"/>
      <c r="F13" s="42"/>
      <c r="G13" s="42"/>
      <c r="H13" s="42"/>
      <c r="I13" s="42"/>
      <c r="J13" s="51"/>
      <c r="K13" s="51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</row>
    <row r="14" spans="1:25" x14ac:dyDescent="0.2">
      <c r="A14" s="42"/>
      <c r="B14" s="42"/>
      <c r="C14" s="42"/>
      <c r="D14" s="42"/>
      <c r="E14" s="42"/>
      <c r="F14" s="42"/>
      <c r="G14" s="42"/>
      <c r="H14" s="42"/>
      <c r="I14" s="42"/>
      <c r="J14" s="51"/>
      <c r="K14" s="51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</row>
    <row r="15" spans="1:25" x14ac:dyDescent="0.2">
      <c r="A15" s="42"/>
      <c r="B15" s="42"/>
      <c r="C15" s="42"/>
      <c r="D15" s="42"/>
      <c r="E15" s="42"/>
      <c r="F15" s="42"/>
      <c r="G15" s="42"/>
      <c r="H15" s="42"/>
      <c r="I15" s="42"/>
      <c r="J15" s="51"/>
      <c r="K15" s="51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</row>
    <row r="16" spans="1:25" x14ac:dyDescent="0.2">
      <c r="A16" s="42"/>
      <c r="B16" s="42"/>
      <c r="C16" s="42"/>
      <c r="D16" s="42"/>
      <c r="E16" s="42"/>
      <c r="F16" s="42"/>
      <c r="G16" s="42"/>
      <c r="H16" s="42"/>
      <c r="I16" s="42"/>
      <c r="J16" s="51"/>
      <c r="K16" s="51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</row>
    <row r="17" spans="1:25" x14ac:dyDescent="0.2">
      <c r="A17" s="42"/>
      <c r="B17" s="42"/>
      <c r="C17" s="42"/>
      <c r="D17" s="42"/>
      <c r="E17" s="42"/>
      <c r="F17" s="42"/>
      <c r="G17" s="42"/>
      <c r="H17" s="42"/>
      <c r="I17" s="42"/>
      <c r="J17" s="51"/>
      <c r="K17" s="51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</row>
    <row r="18" spans="1:25" x14ac:dyDescent="0.2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</row>
    <row r="19" spans="1:25" x14ac:dyDescent="0.2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</row>
    <row r="20" spans="1:25" x14ac:dyDescent="0.2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</row>
    <row r="21" spans="1:25" x14ac:dyDescent="0.2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</row>
    <row r="22" spans="1:25" x14ac:dyDescent="0.2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</row>
    <row r="23" spans="1:25" x14ac:dyDescent="0.2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</row>
    <row r="24" spans="1:25" x14ac:dyDescent="0.2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</row>
    <row r="25" spans="1:25" x14ac:dyDescent="0.2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</row>
    <row r="26" spans="1:25" x14ac:dyDescent="0.2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</row>
    <row r="27" spans="1:25" x14ac:dyDescent="0.2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S27" s="41"/>
      <c r="T27" s="41"/>
      <c r="U27" s="41"/>
      <c r="V27" s="41"/>
    </row>
    <row r="28" spans="1:25" x14ac:dyDescent="0.2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S28" s="41"/>
      <c r="T28" s="41"/>
      <c r="U28" s="41"/>
      <c r="V28" s="41"/>
    </row>
    <row r="29" spans="1:25" x14ac:dyDescent="0.2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S29" s="41"/>
      <c r="T29" s="41"/>
      <c r="U29" s="41"/>
      <c r="V29" s="41"/>
    </row>
    <row r="30" spans="1:25" x14ac:dyDescent="0.2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S30" s="41"/>
      <c r="T30" s="41"/>
      <c r="U30" s="41"/>
      <c r="V30" s="41"/>
    </row>
    <row r="31" spans="1:25" x14ac:dyDescent="0.2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S31" s="41"/>
      <c r="T31" s="41"/>
      <c r="U31" s="41"/>
      <c r="V31" s="41"/>
    </row>
    <row r="32" spans="1:25" x14ac:dyDescent="0.2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S32" s="41"/>
      <c r="T32" s="41"/>
      <c r="U32" s="41"/>
      <c r="V32" s="41"/>
    </row>
    <row r="33" spans="1:22" ht="24.95" customHeight="1" x14ac:dyDescent="0.2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N33" s="52">
        <f>data!$C$4</f>
        <v>40</v>
      </c>
      <c r="O33" s="53" t="s">
        <v>49</v>
      </c>
      <c r="P33" s="52" t="s">
        <v>51</v>
      </c>
      <c r="Q33" s="52" t="s">
        <v>52</v>
      </c>
      <c r="R33" s="53" t="s">
        <v>53</v>
      </c>
      <c r="S33" s="41"/>
      <c r="T33" s="41"/>
      <c r="U33" s="41"/>
      <c r="V33" s="41"/>
    </row>
    <row r="34" spans="1:22" ht="24.95" customHeight="1" x14ac:dyDescent="0.2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N34" s="47" t="s">
        <v>46</v>
      </c>
      <c r="O34" s="48">
        <f>VLOOKUP(data!$C$4,data!$C$11:$Z$58,2,0)</f>
        <v>165</v>
      </c>
      <c r="P34" s="48">
        <f>VLOOKUP(data!$C$4,data!$C$11:$Z$58,3,0)</f>
        <v>92</v>
      </c>
      <c r="Q34" s="48">
        <f>VLOOKUP(data!$C$4,data!$C$11:$Z$58,4,0)</f>
        <v>167</v>
      </c>
      <c r="R34" s="48">
        <f>VLOOKUP(data!$C$4,data!$C$11:$Z$58,5,0)</f>
        <v>94</v>
      </c>
      <c r="S34" s="41"/>
      <c r="T34" s="41"/>
      <c r="U34" s="41"/>
      <c r="V34" s="41"/>
    </row>
    <row r="35" spans="1:22" ht="24.95" customHeight="1" x14ac:dyDescent="0.2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N35" s="49" t="s">
        <v>47</v>
      </c>
      <c r="O35" s="50">
        <f>VLOOKUP(data!$C$4,data!$C$11:$Z$58,16,0)</f>
        <v>0</v>
      </c>
      <c r="P35" s="50">
        <f>VLOOKUP(data!$C$4,data!$C$11:$Z$58,17,0)</f>
        <v>1.2E-2</v>
      </c>
      <c r="Q35" s="50">
        <f>VLOOKUP(data!$C$4,data!$C$11:$Z$58,18,0)</f>
        <v>6.7000000000000004E-2</v>
      </c>
      <c r="R35" s="50">
        <f>VLOOKUP(data!$C$4,data!$C$11:$Z$58,19,0)</f>
        <v>0.09</v>
      </c>
      <c r="S35" s="41"/>
      <c r="T35" s="41"/>
      <c r="U35" s="41"/>
      <c r="V35" s="41"/>
    </row>
    <row r="36" spans="1:22" ht="24.95" customHeight="1" x14ac:dyDescent="0.2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N36" s="49" t="s">
        <v>48</v>
      </c>
      <c r="O36" s="50">
        <f>VLOOKUP(data!$C$4,data!$C$11:$Z$58,21,0)</f>
        <v>0.90980000000000005</v>
      </c>
      <c r="P36" s="50">
        <f>VLOOKUP(data!$C$4,data!$C$11:$Z$58,22,0)</f>
        <v>0.91110000000000002</v>
      </c>
      <c r="Q36" s="50">
        <f>VLOOKUP(data!$C$4,data!$C$11:$Z$58,23,0)</f>
        <v>0.91300000000000003</v>
      </c>
      <c r="R36" s="50">
        <f>VLOOKUP(data!$C$4,data!$C$11:$Z$58,24,0)</f>
        <v>0.91059999999999997</v>
      </c>
      <c r="S36" s="41"/>
      <c r="T36" s="41"/>
      <c r="U36" s="41"/>
      <c r="V36" s="41"/>
    </row>
    <row r="37" spans="1:22" ht="13.5" thickBot="1" x14ac:dyDescent="0.25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58" t="s">
        <v>55</v>
      </c>
      <c r="P37" s="58" t="s">
        <v>56</v>
      </c>
      <c r="Q37" s="58" t="s">
        <v>57</v>
      </c>
      <c r="R37" s="58" t="s">
        <v>58</v>
      </c>
      <c r="S37" s="41"/>
      <c r="T37" s="41"/>
      <c r="U37" s="41"/>
      <c r="V37" s="41"/>
    </row>
    <row r="38" spans="1:22" x14ac:dyDescent="0.2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59"/>
      <c r="N38" s="60"/>
      <c r="O38" s="60"/>
      <c r="P38" s="66"/>
      <c r="Q38" s="66"/>
      <c r="R38" s="61"/>
      <c r="S38" s="41"/>
      <c r="T38" s="41"/>
      <c r="U38" s="41"/>
      <c r="V38" s="41"/>
    </row>
    <row r="39" spans="1:22" ht="16.5" x14ac:dyDescent="0.3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62"/>
      <c r="N39" s="64" t="s">
        <v>59</v>
      </c>
      <c r="O39" s="64"/>
      <c r="P39" s="67">
        <f>MAX(O34:R34)</f>
        <v>167</v>
      </c>
      <c r="Q39" s="71"/>
      <c r="R39" s="72" t="str">
        <f>HLOOKUP(MAX($O$34:$R$34),$N$34:$R$37,4,0)</f>
        <v>user3</v>
      </c>
      <c r="S39" s="41"/>
      <c r="T39" s="41"/>
      <c r="U39" s="41"/>
      <c r="V39" s="41"/>
    </row>
    <row r="40" spans="1:22" ht="16.5" x14ac:dyDescent="0.3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62"/>
      <c r="N40" s="64" t="s">
        <v>60</v>
      </c>
      <c r="O40" s="64"/>
      <c r="P40" s="68">
        <f>MIN(O34:R34)</f>
        <v>92</v>
      </c>
      <c r="Q40" s="71"/>
      <c r="R40" s="72" t="str">
        <f>HLOOKUP(MIN($O$34:$R$34),$N$34:$R$37,4,0)</f>
        <v>user2</v>
      </c>
      <c r="S40" s="41"/>
      <c r="T40" s="41"/>
      <c r="U40" s="41"/>
      <c r="V40" s="41"/>
    </row>
    <row r="41" spans="1:22" ht="16.5" x14ac:dyDescent="0.3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62"/>
      <c r="N41" s="64" t="s">
        <v>61</v>
      </c>
      <c r="O41" s="64"/>
      <c r="P41" s="69">
        <f>MAX(O35:R35)</f>
        <v>0.09</v>
      </c>
      <c r="Q41" s="71"/>
      <c r="R41" s="72" t="str">
        <f>HLOOKUP(MAX($O$35:$R$35),$N$35:$R$37,3,0)</f>
        <v>user4</v>
      </c>
      <c r="S41" s="41"/>
      <c r="T41" s="41"/>
      <c r="U41" s="41"/>
      <c r="V41" s="41"/>
    </row>
    <row r="42" spans="1:22" ht="16.5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62"/>
      <c r="N42" s="64" t="s">
        <v>62</v>
      </c>
      <c r="O42" s="64"/>
      <c r="P42" s="69">
        <f>MIN(O35:R35)</f>
        <v>0</v>
      </c>
      <c r="Q42" s="71"/>
      <c r="R42" s="72" t="str">
        <f>HLOOKUP(MIN($O$35:$R$35),$N$35:$R$37,3,0)</f>
        <v>user1</v>
      </c>
      <c r="S42" s="41"/>
      <c r="T42" s="41"/>
      <c r="U42" s="41"/>
      <c r="V42" s="41"/>
    </row>
    <row r="43" spans="1:22" ht="16.5" x14ac:dyDescent="0.3">
      <c r="A43" s="41"/>
      <c r="B43" s="41"/>
      <c r="C43" s="41"/>
      <c r="D43" s="41"/>
      <c r="E43" s="41"/>
      <c r="F43" s="41"/>
      <c r="G43" s="41"/>
      <c r="H43" s="56"/>
      <c r="I43" s="41"/>
      <c r="J43" s="41"/>
      <c r="K43" s="41"/>
      <c r="L43" s="41"/>
      <c r="M43" s="62"/>
      <c r="N43" s="64" t="s">
        <v>63</v>
      </c>
      <c r="O43" s="64"/>
      <c r="P43" s="69">
        <f>MAX(O36:R36)</f>
        <v>0.91300000000000003</v>
      </c>
      <c r="Q43" s="71"/>
      <c r="R43" s="72" t="str">
        <f>HLOOKUP(MAX($O$36:$R$36),$N$36:$R$37,2,0)</f>
        <v>user3</v>
      </c>
      <c r="S43" s="41"/>
      <c r="T43" s="41"/>
      <c r="U43" s="41"/>
    </row>
    <row r="44" spans="1:22" ht="17.25" thickBot="1" x14ac:dyDescent="0.35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63"/>
      <c r="N44" s="65" t="s">
        <v>64</v>
      </c>
      <c r="O44" s="65"/>
      <c r="P44" s="70">
        <f>MIN(O36:R36)</f>
        <v>0.90980000000000005</v>
      </c>
      <c r="Q44" s="73"/>
      <c r="R44" s="74" t="str">
        <f>HLOOKUP(MIN($O$36:$R$36),$N$36:$R$37,2,0)</f>
        <v>user1</v>
      </c>
      <c r="S44" s="41"/>
      <c r="T44" s="41"/>
      <c r="U44" s="41"/>
    </row>
    <row r="45" spans="1:22" x14ac:dyDescent="0.2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</row>
    <row r="46" spans="1:22" x14ac:dyDescent="0.2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</row>
    <row r="47" spans="1:22" x14ac:dyDescent="0.2">
      <c r="A47" s="41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</row>
    <row r="48" spans="1:22" x14ac:dyDescent="0.2">
      <c r="A48" s="41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</row>
    <row r="49" spans="1:21" x14ac:dyDescent="0.2">
      <c r="A49" s="41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</row>
    <row r="50" spans="1:21" x14ac:dyDescent="0.2">
      <c r="A50" s="41"/>
      <c r="B50" s="54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</row>
    <row r="51" spans="1:21" x14ac:dyDescent="0.2">
      <c r="A51" s="41"/>
      <c r="B51" s="55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</row>
    <row r="52" spans="1:21" x14ac:dyDescent="0.2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57"/>
      <c r="Q52" s="41"/>
      <c r="R52" s="41"/>
      <c r="S52" s="41"/>
      <c r="T52" s="41"/>
      <c r="U52" s="41"/>
    </row>
    <row r="53" spans="1:21" x14ac:dyDescent="0.2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</row>
    <row r="54" spans="1:21" x14ac:dyDescent="0.2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</row>
    <row r="55" spans="1:21" x14ac:dyDescent="0.2">
      <c r="A55" s="41"/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</row>
    <row r="56" spans="1:21" x14ac:dyDescent="0.2">
      <c r="A56" s="41"/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</row>
    <row r="57" spans="1:21" x14ac:dyDescent="0.2">
      <c r="A57" s="41"/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</row>
    <row r="58" spans="1:21" x14ac:dyDescent="0.2">
      <c r="A58" s="41"/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</row>
    <row r="59" spans="1:21" x14ac:dyDescent="0.2">
      <c r="A59" s="41"/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</row>
    <row r="60" spans="1:21" x14ac:dyDescent="0.2">
      <c r="A60" s="41"/>
      <c r="B60" s="41"/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</row>
    <row r="61" spans="1:21" x14ac:dyDescent="0.2">
      <c r="A61" s="41"/>
      <c r="B61" s="41"/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</row>
    <row r="62" spans="1:21" x14ac:dyDescent="0.2">
      <c r="A62" s="41"/>
      <c r="B62" s="41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</row>
    <row r="63" spans="1:21" x14ac:dyDescent="0.2">
      <c r="A63" s="41"/>
      <c r="B63" s="41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</row>
    <row r="64" spans="1:21" x14ac:dyDescent="0.2">
      <c r="A64" s="41"/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</row>
    <row r="65" spans="1:21" x14ac:dyDescent="0.2">
      <c r="A65" s="41"/>
      <c r="B65" s="41"/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</row>
    <row r="66" spans="1:21" x14ac:dyDescent="0.2">
      <c r="A66" s="41"/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</row>
    <row r="67" spans="1:21" x14ac:dyDescent="0.2">
      <c r="A67" s="41"/>
      <c r="B67" s="41"/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</row>
    <row r="68" spans="1:21" x14ac:dyDescent="0.2">
      <c r="A68" s="41"/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</row>
    <row r="69" spans="1:21" x14ac:dyDescent="0.2">
      <c r="A69" s="41"/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</row>
    <row r="70" spans="1:21" x14ac:dyDescent="0.2">
      <c r="A70" s="41"/>
      <c r="B70" s="41"/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</row>
    <row r="71" spans="1:21" x14ac:dyDescent="0.2">
      <c r="A71" s="41"/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</row>
    <row r="72" spans="1:21" x14ac:dyDescent="0.2">
      <c r="A72" s="41"/>
      <c r="B72" s="41"/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</row>
    <row r="73" spans="1:21" x14ac:dyDescent="0.2">
      <c r="A73" s="41"/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</row>
    <row r="74" spans="1:21" x14ac:dyDescent="0.2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</row>
    <row r="75" spans="1:21" x14ac:dyDescent="0.2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</row>
    <row r="76" spans="1:21" x14ac:dyDescent="0.2">
      <c r="A76" s="41"/>
      <c r="B76" s="41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</row>
    <row r="77" spans="1:21" x14ac:dyDescent="0.2">
      <c r="A77" s="41"/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</row>
    <row r="78" spans="1:21" x14ac:dyDescent="0.2">
      <c r="A78" s="41"/>
      <c r="B78" s="41"/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</row>
    <row r="79" spans="1:21" x14ac:dyDescent="0.2">
      <c r="A79" s="41"/>
      <c r="B79" s="41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</row>
    <row r="80" spans="1:21" x14ac:dyDescent="0.2">
      <c r="A80" s="41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</row>
    <row r="81" spans="1:21" x14ac:dyDescent="0.2">
      <c r="A81" s="41"/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</row>
    <row r="82" spans="1:21" x14ac:dyDescent="0.2">
      <c r="A82" s="41"/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</row>
    <row r="83" spans="1:21" x14ac:dyDescent="0.2">
      <c r="A83" s="41"/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</row>
    <row r="84" spans="1:21" x14ac:dyDescent="0.2">
      <c r="A84" s="41"/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</row>
    <row r="85" spans="1:21" x14ac:dyDescent="0.2">
      <c r="A85" s="41"/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</row>
    <row r="86" spans="1:21" x14ac:dyDescent="0.2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</row>
    <row r="87" spans="1:21" x14ac:dyDescent="0.2">
      <c r="A87" s="41"/>
      <c r="B87" s="41"/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</row>
    <row r="88" spans="1:21" x14ac:dyDescent="0.2">
      <c r="A88" s="41"/>
      <c r="B88" s="41"/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</row>
    <row r="89" spans="1:21" x14ac:dyDescent="0.2">
      <c r="A89" s="41"/>
      <c r="B89" s="41"/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</row>
    <row r="90" spans="1:21" x14ac:dyDescent="0.2">
      <c r="A90" s="41"/>
      <c r="B90" s="41"/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</row>
    <row r="91" spans="1:21" x14ac:dyDescent="0.2">
      <c r="A91" s="41"/>
      <c r="B91" s="41"/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</row>
    <row r="92" spans="1:21" x14ac:dyDescent="0.2">
      <c r="A92" s="41"/>
      <c r="B92" s="41"/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</row>
    <row r="93" spans="1:21" x14ac:dyDescent="0.2">
      <c r="A93" s="41"/>
      <c r="B93" s="41"/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</row>
    <row r="94" spans="1:21" x14ac:dyDescent="0.2">
      <c r="A94" s="41"/>
      <c r="B94" s="41"/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</row>
    <row r="95" spans="1:21" x14ac:dyDescent="0.2">
      <c r="A95" s="41"/>
      <c r="B95" s="41"/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</row>
    <row r="96" spans="1:21" x14ac:dyDescent="0.2">
      <c r="A96" s="41"/>
      <c r="B96" s="41"/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</row>
    <row r="97" spans="1:21" x14ac:dyDescent="0.2">
      <c r="A97" s="41"/>
      <c r="B97" s="41"/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</row>
    <row r="98" spans="1:21" x14ac:dyDescent="0.2">
      <c r="A98" s="41"/>
      <c r="B98" s="41"/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</row>
    <row r="99" spans="1:21" x14ac:dyDescent="0.2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</row>
    <row r="100" spans="1:21" x14ac:dyDescent="0.2">
      <c r="A100" s="41"/>
      <c r="B100" s="41"/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</row>
    <row r="101" spans="1:21" x14ac:dyDescent="0.2">
      <c r="A101" s="41"/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</row>
    <row r="102" spans="1:21" x14ac:dyDescent="0.2">
      <c r="A102" s="41"/>
      <c r="B102" s="41"/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</row>
    <row r="103" spans="1:21" x14ac:dyDescent="0.2">
      <c r="A103" s="41"/>
      <c r="B103" s="41"/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</row>
    <row r="104" spans="1:21" x14ac:dyDescent="0.2">
      <c r="A104" s="41"/>
      <c r="B104" s="41"/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List Box 2">
              <controlPr defaultSize="0" autoLine="0" autoPict="0">
                <anchor moveWithCells="1">
                  <from>
                    <xdr:col>9</xdr:col>
                    <xdr:colOff>57150</xdr:colOff>
                    <xdr:row>5</xdr:row>
                    <xdr:rowOff>66675</xdr:rowOff>
                  </from>
                  <to>
                    <xdr:col>10</xdr:col>
                    <xdr:colOff>104775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Spinner 10">
              <controlPr defaultSize="0" autoPict="0">
                <anchor moveWithCells="1" sizeWithCells="1">
                  <from>
                    <xdr:col>12</xdr:col>
                    <xdr:colOff>19050</xdr:colOff>
                    <xdr:row>32</xdr:row>
                    <xdr:rowOff>9525</xdr:rowOff>
                  </from>
                  <to>
                    <xdr:col>12</xdr:col>
                    <xdr:colOff>133350</xdr:colOff>
                    <xdr:row>35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AFDBF-9F43-40E6-BFB4-FE6C5B604CBE}">
  <dimension ref="A2:R50"/>
  <sheetViews>
    <sheetView workbookViewId="0">
      <selection activeCell="F26" sqref="F26"/>
    </sheetView>
  </sheetViews>
  <sheetFormatPr defaultRowHeight="12.75" x14ac:dyDescent="0.2"/>
  <cols>
    <col min="14" max="14" width="19.42578125" customWidth="1"/>
  </cols>
  <sheetData>
    <row r="2" spans="1:18" ht="13.5" thickBot="1" x14ac:dyDescent="0.25">
      <c r="B2" s="43" t="s">
        <v>49</v>
      </c>
      <c r="C2" s="43" t="s">
        <v>51</v>
      </c>
      <c r="D2" s="43" t="s">
        <v>52</v>
      </c>
      <c r="E2" s="43" t="s">
        <v>53</v>
      </c>
      <c r="I2" s="43" t="s">
        <v>49</v>
      </c>
      <c r="J2" s="43" t="s">
        <v>51</v>
      </c>
      <c r="K2" s="43" t="s">
        <v>52</v>
      </c>
      <c r="L2" s="43" t="s">
        <v>53</v>
      </c>
      <c r="N2">
        <v>15</v>
      </c>
      <c r="O2" s="43" t="s">
        <v>49</v>
      </c>
      <c r="P2" t="s">
        <v>51</v>
      </c>
      <c r="Q2" t="s">
        <v>52</v>
      </c>
      <c r="R2" t="s">
        <v>53</v>
      </c>
    </row>
    <row r="3" spans="1:18" ht="14.25" x14ac:dyDescent="0.25">
      <c r="A3" s="11">
        <v>1</v>
      </c>
      <c r="B3" s="16">
        <v>8.0000000000000002E-3</v>
      </c>
      <c r="C3" s="16">
        <v>6.7000000000000004E-2</v>
      </c>
      <c r="D3" s="16">
        <v>0.01</v>
      </c>
      <c r="E3" s="16">
        <v>2E-3</v>
      </c>
      <c r="H3" s="11">
        <v>1</v>
      </c>
      <c r="I3" s="23">
        <f>+VLOOKUP(Sheet2!H3,data!$C$11:$AA$58,21,FALSE)</f>
        <v>0.91149999999999998</v>
      </c>
      <c r="J3" s="23">
        <f>+VLOOKUP(H3,data!$C$11:$AA$58,22,FALSE)</f>
        <v>0.91100000000000003</v>
      </c>
      <c r="K3" s="23">
        <f>+VLOOKUP(H3,data!$C$11:$AA$58,23,FALSE)</f>
        <v>0.91549999999999998</v>
      </c>
      <c r="L3" s="23">
        <f>+VLOOKUP(H3,data!$C$11:$AA$58,24,FALSE)</f>
        <v>0.91559999999999997</v>
      </c>
      <c r="N3" t="s">
        <v>46</v>
      </c>
      <c r="P3">
        <f>VLOOKUP(A3,$A$2:$E$50,3,FALSE)</f>
        <v>6.7000000000000004E-2</v>
      </c>
      <c r="Q3" t="e">
        <f>VLOOKUP(C3,$A$2:$E$50,P2,FALSE)</f>
        <v>#N/A</v>
      </c>
      <c r="R3" t="e">
        <f t="shared" ref="R3" si="0">VLOOKUP(D3,$A$2:$E$50,Q2,FALSE)</f>
        <v>#N/A</v>
      </c>
    </row>
    <row r="4" spans="1:18" ht="14.25" x14ac:dyDescent="0.25">
      <c r="A4" s="6">
        <v>2</v>
      </c>
      <c r="B4" s="16">
        <v>9.1999999999999998E-2</v>
      </c>
      <c r="C4" s="16">
        <v>7.2999999999999995E-2</v>
      </c>
      <c r="D4" s="16">
        <v>0.02</v>
      </c>
      <c r="E4" s="16">
        <v>5.8000000000000003E-2</v>
      </c>
      <c r="H4" s="6">
        <v>2</v>
      </c>
      <c r="I4" s="23">
        <f>+VLOOKUP(Sheet2!H4,data!$C$11:$AA$58,21,FALSE)</f>
        <v>0.91439999999999999</v>
      </c>
      <c r="J4" s="23">
        <f>+VLOOKUP(H4,data!$C$11:$AA$58,22,FALSE)</f>
        <v>0.91610000000000003</v>
      </c>
      <c r="K4" s="23">
        <f>+VLOOKUP(H4,data!$C$11:$AA$58,23,FALSE)</f>
        <v>0.9173</v>
      </c>
      <c r="L4" s="23">
        <f>+VLOOKUP(H4,data!$C$11:$AA$58,24,FALSE)</f>
        <v>0.91049999999999998</v>
      </c>
      <c r="N4" t="s">
        <v>54</v>
      </c>
      <c r="O4" t="e">
        <f t="shared" ref="O4:O5" si="1">VLOOKUP(A4,$A$2:$E$50,N3,FALSE)</f>
        <v>#REF!</v>
      </c>
    </row>
    <row r="5" spans="1:18" ht="14.25" x14ac:dyDescent="0.25">
      <c r="A5" s="6">
        <v>3</v>
      </c>
      <c r="B5" s="16">
        <v>1.7999999999999999E-2</v>
      </c>
      <c r="C5" s="16">
        <v>7.0000000000000001E-3</v>
      </c>
      <c r="D5" s="16">
        <v>1.2999999999999999E-2</v>
      </c>
      <c r="E5" s="16">
        <v>2.5999999999999999E-2</v>
      </c>
      <c r="H5" s="6">
        <v>3</v>
      </c>
      <c r="I5" s="23">
        <f>+VLOOKUP(Sheet2!H5,data!$C$11:$AA$58,21,FALSE)</f>
        <v>0.9093</v>
      </c>
      <c r="J5" s="23">
        <f>+VLOOKUP(H5,data!$C$11:$AA$58,22,FALSE)</f>
        <v>0.91879999999999995</v>
      </c>
      <c r="K5" s="23">
        <f>+VLOOKUP(H5,data!$C$11:$AA$58,23,FALSE)</f>
        <v>0.91759999999999997</v>
      </c>
      <c r="L5" s="23">
        <f>+VLOOKUP(H5,data!$C$11:$AA$58,24,FALSE)</f>
        <v>0.93</v>
      </c>
      <c r="N5" t="s">
        <v>48</v>
      </c>
      <c r="O5" t="e">
        <f t="shared" si="1"/>
        <v>#REF!</v>
      </c>
    </row>
    <row r="6" spans="1:18" ht="14.25" x14ac:dyDescent="0.25">
      <c r="A6" s="6">
        <v>4</v>
      </c>
      <c r="B6" s="16">
        <v>3.4000000000000002E-2</v>
      </c>
      <c r="C6" s="16">
        <v>3.6999999999999998E-2</v>
      </c>
      <c r="D6" s="16">
        <v>4.5999999999999999E-2</v>
      </c>
      <c r="E6" s="16">
        <v>9.1999999999999998E-2</v>
      </c>
      <c r="H6" s="6">
        <v>4</v>
      </c>
      <c r="I6" s="23">
        <f>+VLOOKUP(Sheet2!H6,data!$C$11:$AA$58,21,FALSE)</f>
        <v>0.9093</v>
      </c>
      <c r="J6" s="23">
        <f>+VLOOKUP(H6,data!$C$11:$AA$58,22,FALSE)</f>
        <v>0.91710000000000003</v>
      </c>
      <c r="K6" s="23">
        <f>+VLOOKUP(H6,data!$C$11:$AA$58,23,FALSE)</f>
        <v>0.91759999999999997</v>
      </c>
      <c r="L6" s="23">
        <f>+VLOOKUP(H6,data!$C$11:$AA$58,24,FALSE)</f>
        <v>0.91049999999999998</v>
      </c>
    </row>
    <row r="7" spans="1:18" ht="14.25" x14ac:dyDescent="0.25">
      <c r="A7" s="6">
        <v>5</v>
      </c>
      <c r="B7" s="16">
        <v>2.5999999999999999E-2</v>
      </c>
      <c r="C7" s="16">
        <v>7.0999999999999994E-2</v>
      </c>
      <c r="D7" s="16">
        <v>1.7000000000000001E-2</v>
      </c>
      <c r="E7" s="16">
        <v>2.4E-2</v>
      </c>
      <c r="H7" s="6">
        <v>5</v>
      </c>
      <c r="I7" s="23">
        <f>+VLOOKUP(Sheet2!H7,data!$C$11:$AA$58,21,FALSE)</f>
        <v>0.91810000000000003</v>
      </c>
      <c r="J7" s="23">
        <f>+VLOOKUP(H7,data!$C$11:$AA$58,22,FALSE)</f>
        <v>0.91069999999999995</v>
      </c>
      <c r="K7" s="23">
        <f>+VLOOKUP(H7,data!$C$11:$AA$58,23,FALSE)</f>
        <v>0.91500000000000004</v>
      </c>
      <c r="L7" s="23">
        <f>+VLOOKUP(H7,data!$C$11:$AA$58,24,FALSE)</f>
        <v>0.91869999999999996</v>
      </c>
    </row>
    <row r="8" spans="1:18" ht="14.25" x14ac:dyDescent="0.25">
      <c r="A8" s="6">
        <v>6</v>
      </c>
      <c r="B8" s="16">
        <v>2.1000000000000001E-2</v>
      </c>
      <c r="C8" s="16">
        <v>2.5000000000000001E-2</v>
      </c>
      <c r="D8" s="16">
        <v>8.1000000000000003E-2</v>
      </c>
      <c r="E8" s="16">
        <v>3.7999999999999999E-2</v>
      </c>
      <c r="H8" s="6">
        <v>6</v>
      </c>
      <c r="I8" s="23">
        <f>+VLOOKUP(Sheet2!H8,data!$C$11:$AA$58,21,FALSE)</f>
        <v>0.9103</v>
      </c>
      <c r="J8" s="23">
        <f>+VLOOKUP(H8,data!$C$11:$AA$58,22,FALSE)</f>
        <v>0.91180000000000005</v>
      </c>
      <c r="K8" s="23">
        <f>+VLOOKUP(H8,data!$C$11:$AA$58,23,FALSE)</f>
        <v>0.90990000000000004</v>
      </c>
      <c r="L8" s="23">
        <f>+VLOOKUP(H8,data!$C$11:$AA$58,24,FALSE)</f>
        <v>0.91510000000000002</v>
      </c>
    </row>
    <row r="9" spans="1:18" ht="14.25" x14ac:dyDescent="0.25">
      <c r="A9" s="6">
        <v>7</v>
      </c>
      <c r="B9" s="16">
        <v>7.3999999999999996E-2</v>
      </c>
      <c r="C9" s="16">
        <v>5.0000000000000001E-3</v>
      </c>
      <c r="D9" s="16">
        <v>4.7E-2</v>
      </c>
      <c r="E9" s="16">
        <v>3.9E-2</v>
      </c>
      <c r="H9" s="6">
        <v>7</v>
      </c>
      <c r="I9" s="23">
        <f>+VLOOKUP(Sheet2!H9,data!$C$11:$AA$58,21,FALSE)</f>
        <v>0.90959999999999996</v>
      </c>
      <c r="J9" s="23">
        <f>+VLOOKUP(H9,data!$C$11:$AA$58,22,FALSE)</f>
        <v>0.91669999999999996</v>
      </c>
      <c r="K9" s="23">
        <f>+VLOOKUP(H9,data!$C$11:$AA$58,23,FALSE)</f>
        <v>0.91720000000000002</v>
      </c>
      <c r="L9" s="23">
        <f>+VLOOKUP(H9,data!$C$11:$AA$58,24,FALSE)</f>
        <v>0.91720000000000002</v>
      </c>
    </row>
    <row r="10" spans="1:18" ht="14.25" x14ac:dyDescent="0.25">
      <c r="A10" s="6">
        <v>8</v>
      </c>
      <c r="B10" s="16">
        <v>5.1999999999999998E-2</v>
      </c>
      <c r="C10" s="16">
        <v>1.2E-2</v>
      </c>
      <c r="D10" s="16">
        <v>0.05</v>
      </c>
      <c r="E10" s="16">
        <v>7.0999999999999994E-2</v>
      </c>
      <c r="H10" s="6">
        <v>8</v>
      </c>
      <c r="I10" s="23">
        <f>+VLOOKUP(Sheet2!H10,data!$C$11:$AA$58,21,FALSE)</f>
        <v>0.9123</v>
      </c>
      <c r="J10" s="23">
        <f>+VLOOKUP(H10,data!$C$11:$AA$58,22,FALSE)</f>
        <v>0.91839999999999999</v>
      </c>
      <c r="K10" s="23">
        <f>+VLOOKUP(H10,data!$C$11:$AA$58,23,FALSE)</f>
        <v>0.91279999999999994</v>
      </c>
      <c r="L10" s="23">
        <f>+VLOOKUP(H10,data!$C$11:$AA$58,24,FALSE)</f>
        <v>0.91259999999999997</v>
      </c>
    </row>
    <row r="11" spans="1:18" ht="14.25" x14ac:dyDescent="0.25">
      <c r="A11" s="6">
        <v>9</v>
      </c>
      <c r="B11" s="16">
        <v>3.7999999999999999E-2</v>
      </c>
      <c r="C11" s="16">
        <v>3.3000000000000002E-2</v>
      </c>
      <c r="D11" s="16">
        <v>4.7E-2</v>
      </c>
      <c r="E11" s="16">
        <v>1.4E-2</v>
      </c>
      <c r="H11" s="6">
        <v>9</v>
      </c>
      <c r="I11" s="23">
        <f>+VLOOKUP(Sheet2!H11,data!$C$11:$AA$58,21,FALSE)</f>
        <v>0.9143</v>
      </c>
      <c r="J11" s="23">
        <f>+VLOOKUP(H11,data!$C$11:$AA$58,22,FALSE)</f>
        <v>0.91249999999999998</v>
      </c>
      <c r="K11" s="23">
        <f>+VLOOKUP(H11,data!$C$11:$AA$58,23,FALSE)</f>
        <v>0.91710000000000003</v>
      </c>
      <c r="L11" s="23">
        <f>+VLOOKUP(H11,data!$C$11:$AA$58,24,FALSE)</f>
        <v>0.91210000000000002</v>
      </c>
    </row>
    <row r="12" spans="1:18" ht="14.25" x14ac:dyDescent="0.25">
      <c r="A12" s="6">
        <v>10</v>
      </c>
      <c r="B12" s="16">
        <v>7.2999999999999995E-2</v>
      </c>
      <c r="C12" s="16">
        <v>6.7000000000000004E-2</v>
      </c>
      <c r="D12" s="16">
        <v>6.3E-2</v>
      </c>
      <c r="E12" s="16">
        <v>1.7999999999999999E-2</v>
      </c>
      <c r="H12" s="6">
        <v>10</v>
      </c>
      <c r="I12" s="23">
        <f>+VLOOKUP(Sheet2!H12,data!$C$11:$AA$58,21,FALSE)</f>
        <v>0.91290000000000004</v>
      </c>
      <c r="J12" s="23">
        <f>+VLOOKUP(H12,data!$C$11:$AA$58,22,FALSE)</f>
        <v>0.91759999999999997</v>
      </c>
      <c r="K12" s="23">
        <f>+VLOOKUP(H12,data!$C$11:$AA$58,23,FALSE)</f>
        <v>0.91910000000000003</v>
      </c>
      <c r="L12" s="23">
        <f>+VLOOKUP(H12,data!$C$11:$AA$58,24,FALSE)</f>
        <v>0.92</v>
      </c>
    </row>
    <row r="13" spans="1:18" ht="14.25" x14ac:dyDescent="0.25">
      <c r="A13" s="6">
        <v>11</v>
      </c>
      <c r="B13" s="16">
        <v>6.4000000000000001E-2</v>
      </c>
      <c r="C13" s="16">
        <v>6.6000000000000003E-2</v>
      </c>
      <c r="D13" s="16">
        <v>8.1000000000000003E-2</v>
      </c>
      <c r="E13" s="16">
        <v>7.0000000000000007E-2</v>
      </c>
      <c r="H13" s="6">
        <v>11</v>
      </c>
      <c r="I13" s="23">
        <f>+VLOOKUP(Sheet2!H13,data!$C$11:$AA$58,21,FALSE)</f>
        <v>0.91220000000000001</v>
      </c>
      <c r="J13" s="23">
        <f>+VLOOKUP(H13,data!$C$11:$AA$58,22,FALSE)</f>
        <v>0.91749999999999998</v>
      </c>
      <c r="K13" s="23">
        <f>+VLOOKUP(H13,data!$C$11:$AA$58,23,FALSE)</f>
        <v>0.91600000000000004</v>
      </c>
      <c r="L13" s="23">
        <f>+VLOOKUP(H13,data!$C$11:$AA$58,24,FALSE)</f>
        <v>0.91749999999999998</v>
      </c>
    </row>
    <row r="14" spans="1:18" ht="15" thickBot="1" x14ac:dyDescent="0.3">
      <c r="A14" s="15">
        <v>12</v>
      </c>
      <c r="B14" s="16">
        <v>3.1E-2</v>
      </c>
      <c r="C14" s="16">
        <v>9.2999999999999999E-2</v>
      </c>
      <c r="D14" s="16">
        <v>6.3E-2</v>
      </c>
      <c r="E14" s="16">
        <v>5.3999999999999999E-2</v>
      </c>
      <c r="H14" s="15">
        <v>12</v>
      </c>
      <c r="I14" s="23">
        <f>+VLOOKUP(Sheet2!H14,data!$C$11:$AA$58,21,FALSE)</f>
        <v>0.9163</v>
      </c>
      <c r="J14" s="23">
        <f>+VLOOKUP(H14,data!$C$11:$AA$58,22,FALSE)</f>
        <v>0.91139999999999999</v>
      </c>
      <c r="K14" s="23">
        <f>+VLOOKUP(H14,data!$C$11:$AA$58,23,FALSE)</f>
        <v>0.91310000000000002</v>
      </c>
      <c r="L14" s="23">
        <f>+VLOOKUP(H14,data!$C$11:$AA$58,24,FALSE)</f>
        <v>0.91439999999999999</v>
      </c>
    </row>
    <row r="15" spans="1:18" ht="14.25" x14ac:dyDescent="0.25">
      <c r="A15" s="11">
        <v>13</v>
      </c>
      <c r="B15" s="16">
        <v>0.08</v>
      </c>
      <c r="C15" s="16">
        <v>0.09</v>
      </c>
      <c r="D15" s="16">
        <v>2.3E-2</v>
      </c>
      <c r="E15" s="16">
        <v>6.0999999999999999E-2</v>
      </c>
      <c r="H15" s="11">
        <v>13</v>
      </c>
      <c r="I15" s="23">
        <f>+VLOOKUP(Sheet2!H15,data!$C$11:$AA$58,21,FALSE)</f>
        <v>0.9123</v>
      </c>
      <c r="J15" s="23">
        <f>+VLOOKUP(H15,data!$C$11:$AA$58,22,FALSE)</f>
        <v>0.91500000000000004</v>
      </c>
      <c r="K15" s="23">
        <f>+VLOOKUP(H15,data!$C$11:$AA$58,23,FALSE)</f>
        <v>0.91749999999999998</v>
      </c>
      <c r="L15" s="23">
        <f>+VLOOKUP(H15,data!$C$11:$AA$58,24,FALSE)</f>
        <v>0.94</v>
      </c>
    </row>
    <row r="16" spans="1:18" ht="14.25" x14ac:dyDescent="0.25">
      <c r="A16" s="6">
        <v>14</v>
      </c>
      <c r="B16" s="16">
        <v>7.3999999999999996E-2</v>
      </c>
      <c r="C16" s="16">
        <v>6.7000000000000004E-2</v>
      </c>
      <c r="D16" s="16">
        <v>2.3E-2</v>
      </c>
      <c r="E16" s="16">
        <v>2.9000000000000001E-2</v>
      </c>
      <c r="H16" s="6">
        <v>14</v>
      </c>
      <c r="I16" s="23">
        <f>+VLOOKUP(Sheet2!H16,data!$C$11:$AA$58,21,FALSE)</f>
        <v>0.91090000000000004</v>
      </c>
      <c r="J16" s="23">
        <f>+VLOOKUP(H16,data!$C$11:$AA$58,22,FALSE)</f>
        <v>0.91900000000000004</v>
      </c>
      <c r="K16" s="23">
        <f>+VLOOKUP(H16,data!$C$11:$AA$58,23,FALSE)</f>
        <v>0.90939999999999999</v>
      </c>
      <c r="L16" s="23">
        <f>+VLOOKUP(H16,data!$C$11:$AA$58,24,FALSE)</f>
        <v>0.91369999999999996</v>
      </c>
    </row>
    <row r="17" spans="1:12" ht="14.25" x14ac:dyDescent="0.25">
      <c r="A17" s="6">
        <v>15</v>
      </c>
      <c r="B17" s="16">
        <v>3.0000000000000001E-3</v>
      </c>
      <c r="C17" s="16">
        <v>9.8000000000000004E-2</v>
      </c>
      <c r="D17" s="16">
        <v>5.0000000000000001E-3</v>
      </c>
      <c r="E17" s="16">
        <v>8.0000000000000002E-3</v>
      </c>
      <c r="H17" s="6">
        <v>15</v>
      </c>
      <c r="I17" s="23">
        <f>+VLOOKUP(Sheet2!H17,data!$C$11:$AA$58,21,FALSE)</f>
        <v>0.91359999999999997</v>
      </c>
      <c r="J17" s="23">
        <f>+VLOOKUP(H17,data!$C$11:$AA$58,22,FALSE)</f>
        <v>0.91649999999999998</v>
      </c>
      <c r="K17" s="23">
        <f>+VLOOKUP(H17,data!$C$11:$AA$58,23,FALSE)</f>
        <v>0.91859999999999997</v>
      </c>
      <c r="L17" s="23">
        <f>+VLOOKUP(H17,data!$C$11:$AA$58,24,FALSE)</f>
        <v>0.91400000000000003</v>
      </c>
    </row>
    <row r="18" spans="1:12" ht="14.25" x14ac:dyDescent="0.25">
      <c r="A18" s="6">
        <v>16</v>
      </c>
      <c r="B18" s="16">
        <v>1.4E-2</v>
      </c>
      <c r="C18" s="16">
        <v>8.2000000000000003E-2</v>
      </c>
      <c r="D18" s="16">
        <v>0.09</v>
      </c>
      <c r="E18" s="16">
        <v>4.9000000000000002E-2</v>
      </c>
      <c r="H18" s="6">
        <v>16</v>
      </c>
      <c r="I18" s="23">
        <f>+VLOOKUP(Sheet2!H18,data!$C$11:$AA$58,21,FALSE)</f>
        <v>0.91220000000000001</v>
      </c>
      <c r="J18" s="23">
        <f>+VLOOKUP(H18,data!$C$11:$AA$58,22,FALSE)</f>
        <v>0.91249999999999998</v>
      </c>
      <c r="K18" s="23">
        <f>+VLOOKUP(H18,data!$C$11:$AA$58,23,FALSE)</f>
        <v>0.91059999999999997</v>
      </c>
      <c r="L18" s="23">
        <f>+VLOOKUP(H18,data!$C$11:$AA$58,24,FALSE)</f>
        <v>0.90920000000000001</v>
      </c>
    </row>
    <row r="19" spans="1:12" ht="14.25" x14ac:dyDescent="0.25">
      <c r="A19" s="6">
        <v>17</v>
      </c>
      <c r="B19" s="16">
        <v>3.3000000000000002E-2</v>
      </c>
      <c r="C19" s="16">
        <v>8.7999999999999995E-2</v>
      </c>
      <c r="D19" s="16">
        <v>0.05</v>
      </c>
      <c r="E19" s="16">
        <v>8.2000000000000003E-2</v>
      </c>
      <c r="H19" s="6">
        <v>17</v>
      </c>
      <c r="I19" s="23">
        <f>+VLOOKUP(Sheet2!H19,data!$C$11:$AA$58,21,FALSE)</f>
        <v>0.91539999999999999</v>
      </c>
      <c r="J19" s="23">
        <f>+VLOOKUP(H19,data!$C$11:$AA$58,22,FALSE)</f>
        <v>0.91159999999999997</v>
      </c>
      <c r="K19" s="23">
        <f>+VLOOKUP(H19,data!$C$11:$AA$58,23,FALSE)</f>
        <v>0.91049999999999998</v>
      </c>
      <c r="L19" s="23">
        <f>+VLOOKUP(H19,data!$C$11:$AA$58,24,FALSE)</f>
        <v>0.91610000000000003</v>
      </c>
    </row>
    <row r="20" spans="1:12" ht="14.25" x14ac:dyDescent="0.25">
      <c r="A20" s="6">
        <v>18</v>
      </c>
      <c r="B20" s="16">
        <v>0.01</v>
      </c>
      <c r="C20" s="16">
        <v>8.4000000000000005E-2</v>
      </c>
      <c r="D20" s="16">
        <v>6.3E-2</v>
      </c>
      <c r="E20" s="16">
        <v>2.7E-2</v>
      </c>
      <c r="H20" s="6">
        <v>18</v>
      </c>
      <c r="I20" s="23">
        <f>+VLOOKUP(Sheet2!H20,data!$C$11:$AA$58,21,FALSE)</f>
        <v>0.91590000000000005</v>
      </c>
      <c r="J20" s="23">
        <f>+VLOOKUP(H20,data!$C$11:$AA$58,22,FALSE)</f>
        <v>0.91139999999999999</v>
      </c>
      <c r="K20" s="23">
        <f>+VLOOKUP(H20,data!$C$11:$AA$58,23,FALSE)</f>
        <v>0.91579999999999995</v>
      </c>
      <c r="L20" s="23">
        <f>+VLOOKUP(H20,data!$C$11:$AA$58,24,FALSE)</f>
        <v>0.91779999999999995</v>
      </c>
    </row>
    <row r="21" spans="1:12" ht="14.25" x14ac:dyDescent="0.25">
      <c r="A21" s="6">
        <v>19</v>
      </c>
      <c r="B21" s="16">
        <v>3.7999999999999999E-2</v>
      </c>
      <c r="C21" s="16">
        <v>0.06</v>
      </c>
      <c r="D21" s="16">
        <v>9.7000000000000003E-2</v>
      </c>
      <c r="E21" s="16">
        <v>5.8000000000000003E-2</v>
      </c>
      <c r="H21" s="6">
        <v>19</v>
      </c>
      <c r="I21" s="23">
        <f>+VLOOKUP(Sheet2!H21,data!$C$11:$AA$58,21,FALSE)</f>
        <v>0.91879999999999995</v>
      </c>
      <c r="J21" s="23">
        <f>+VLOOKUP(H21,data!$C$11:$AA$58,22,FALSE)</f>
        <v>0.91259999999999997</v>
      </c>
      <c r="K21" s="23">
        <f>+VLOOKUP(H21,data!$C$11:$AA$58,23,FALSE)</f>
        <v>0.91339999999999999</v>
      </c>
      <c r="L21" s="23">
        <f>+VLOOKUP(H21,data!$C$11:$AA$58,24,FALSE)</f>
        <v>0.91339999999999999</v>
      </c>
    </row>
    <row r="22" spans="1:12" ht="14.25" x14ac:dyDescent="0.25">
      <c r="A22" s="6">
        <v>20</v>
      </c>
      <c r="B22" s="16">
        <v>5.8999999999999997E-2</v>
      </c>
      <c r="C22" s="16">
        <v>3.5000000000000003E-2</v>
      </c>
      <c r="D22" s="16">
        <v>7.2999999999999995E-2</v>
      </c>
      <c r="E22" s="16">
        <v>0.09</v>
      </c>
      <c r="H22" s="6">
        <v>20</v>
      </c>
      <c r="I22" s="23">
        <f>+VLOOKUP(Sheet2!H22,data!$C$11:$AA$58,21,FALSE)</f>
        <v>0.91710000000000003</v>
      </c>
      <c r="J22" s="23">
        <f>+VLOOKUP(H22,data!$C$11:$AA$58,22,FALSE)</f>
        <v>0.91220000000000001</v>
      </c>
      <c r="K22" s="23">
        <f>+VLOOKUP(H22,data!$C$11:$AA$58,23,FALSE)</f>
        <v>0.91839999999999999</v>
      </c>
      <c r="L22" s="23">
        <f>+VLOOKUP(H22,data!$C$11:$AA$58,24,FALSE)</f>
        <v>0.91549999999999998</v>
      </c>
    </row>
    <row r="23" spans="1:12" ht="14.25" x14ac:dyDescent="0.25">
      <c r="A23" s="6">
        <v>21</v>
      </c>
      <c r="B23" s="16">
        <v>6.6000000000000003E-2</v>
      </c>
      <c r="C23" s="16">
        <v>4.5999999999999999E-2</v>
      </c>
      <c r="D23" s="16">
        <v>5.2999999999999999E-2</v>
      </c>
      <c r="E23" s="16">
        <v>2.7E-2</v>
      </c>
      <c r="H23" s="6">
        <v>21</v>
      </c>
      <c r="I23" s="23">
        <f>+VLOOKUP(Sheet2!H23,data!$C$11:$AA$58,21,FALSE)</f>
        <v>0.91820000000000002</v>
      </c>
      <c r="J23" s="23">
        <f>+VLOOKUP(H23,data!$C$11:$AA$58,22,FALSE)</f>
        <v>0.91779999999999995</v>
      </c>
      <c r="K23" s="23">
        <f>+VLOOKUP(H23,data!$C$11:$AA$58,23,FALSE)</f>
        <v>0.91810000000000003</v>
      </c>
      <c r="L23" s="23">
        <f>+VLOOKUP(H23,data!$C$11:$AA$58,24,FALSE)</f>
        <v>0.91469999999999996</v>
      </c>
    </row>
    <row r="24" spans="1:12" ht="14.25" x14ac:dyDescent="0.25">
      <c r="A24" s="6">
        <v>22</v>
      </c>
      <c r="B24" s="16">
        <v>0.03</v>
      </c>
      <c r="C24" s="16">
        <v>9.9000000000000005E-2</v>
      </c>
      <c r="D24" s="16">
        <v>7.3999999999999996E-2</v>
      </c>
      <c r="E24" s="16">
        <v>4.9000000000000002E-2</v>
      </c>
      <c r="H24" s="6">
        <v>22</v>
      </c>
      <c r="I24" s="23">
        <f>+VLOOKUP(Sheet2!H24,data!$C$11:$AA$58,21,FALSE)</f>
        <v>0.91200000000000003</v>
      </c>
      <c r="J24" s="23">
        <f>+VLOOKUP(H24,data!$C$11:$AA$58,22,FALSE)</f>
        <v>0.91830000000000001</v>
      </c>
      <c r="K24" s="23">
        <f>+VLOOKUP(H24,data!$C$11:$AA$58,23,FALSE)</f>
        <v>0.91290000000000004</v>
      </c>
      <c r="L24" s="23">
        <f>+VLOOKUP(H24,data!$C$11:$AA$58,24,FALSE)</f>
        <v>0.95</v>
      </c>
    </row>
    <row r="25" spans="1:12" ht="14.25" x14ac:dyDescent="0.25">
      <c r="A25" s="6">
        <v>23</v>
      </c>
      <c r="B25" s="16">
        <v>8.5000000000000006E-2</v>
      </c>
      <c r="C25" s="16">
        <v>9.8000000000000004E-2</v>
      </c>
      <c r="D25" s="16">
        <v>9.8000000000000004E-2</v>
      </c>
      <c r="E25" s="16">
        <v>2.7E-2</v>
      </c>
      <c r="H25" s="6">
        <v>23</v>
      </c>
      <c r="I25" s="23">
        <f>+VLOOKUP(Sheet2!H25,data!$C$11:$AA$58,21,FALSE)</f>
        <v>0.91320000000000001</v>
      </c>
      <c r="J25" s="23">
        <f>+VLOOKUP(H25,data!$C$11:$AA$58,22,FALSE)</f>
        <v>0.91739999999999999</v>
      </c>
      <c r="K25" s="23">
        <f>+VLOOKUP(H25,data!$C$11:$AA$58,23,FALSE)</f>
        <v>0.91479999999999995</v>
      </c>
      <c r="L25" s="23">
        <f>+VLOOKUP(H25,data!$C$11:$AA$58,24,FALSE)</f>
        <v>0.9123</v>
      </c>
    </row>
    <row r="26" spans="1:12" ht="15" thickBot="1" x14ac:dyDescent="0.3">
      <c r="A26" s="15">
        <v>24</v>
      </c>
      <c r="B26" s="16">
        <v>1.9E-2</v>
      </c>
      <c r="C26" s="16">
        <v>1.7999999999999999E-2</v>
      </c>
      <c r="D26" s="16">
        <v>4.3999999999999997E-2</v>
      </c>
      <c r="E26" s="16">
        <v>0.08</v>
      </c>
      <c r="H26" s="15">
        <v>24</v>
      </c>
      <c r="I26" s="23">
        <f>+VLOOKUP(Sheet2!H26,data!$C$11:$AA$58,21,FALSE)</f>
        <v>0.91679999999999995</v>
      </c>
      <c r="J26" s="23">
        <f>+VLOOKUP(H26,data!$C$11:$AA$58,22,FALSE)</f>
        <v>0.91669999999999996</v>
      </c>
      <c r="K26" s="23">
        <f>+VLOOKUP(H26,data!$C$11:$AA$58,23,FALSE)</f>
        <v>0.91020000000000001</v>
      </c>
      <c r="L26" s="23">
        <f>+VLOOKUP(H26,data!$C$11:$AA$58,24,FALSE)</f>
        <v>0.91749999999999998</v>
      </c>
    </row>
    <row r="27" spans="1:12" ht="14.25" x14ac:dyDescent="0.25">
      <c r="A27" s="11">
        <v>25</v>
      </c>
      <c r="B27" s="16">
        <v>8.5000000000000006E-2</v>
      </c>
      <c r="C27" s="16">
        <v>2.1000000000000001E-2</v>
      </c>
      <c r="D27" s="16">
        <v>5.0000000000000001E-3</v>
      </c>
      <c r="E27" s="16">
        <v>9.0999999999999998E-2</v>
      </c>
      <c r="H27" s="11">
        <v>25</v>
      </c>
      <c r="I27" s="23">
        <f>+VLOOKUP(Sheet2!H27,data!$C$11:$AA$58,21,FALSE)</f>
        <v>0.91669999999999996</v>
      </c>
      <c r="J27" s="23">
        <f>+VLOOKUP(H27,data!$C$11:$AA$58,22,FALSE)</f>
        <v>0.91069999999999995</v>
      </c>
      <c r="K27" s="23">
        <f>+VLOOKUP(H27,data!$C$11:$AA$58,23,FALSE)</f>
        <v>0.91869999999999996</v>
      </c>
      <c r="L27" s="23">
        <f>+VLOOKUP(H27,data!$C$11:$AA$58,24,FALSE)</f>
        <v>0.91139999999999999</v>
      </c>
    </row>
    <row r="28" spans="1:12" ht="14.25" x14ac:dyDescent="0.25">
      <c r="A28" s="6">
        <v>26</v>
      </c>
      <c r="B28" s="16">
        <v>3.5999999999999997E-2</v>
      </c>
      <c r="C28" s="16">
        <v>3.5000000000000003E-2</v>
      </c>
      <c r="D28" s="16">
        <v>4.3999999999999997E-2</v>
      </c>
      <c r="E28" s="16">
        <v>8.5999999999999993E-2</v>
      </c>
      <c r="H28" s="6">
        <v>26</v>
      </c>
      <c r="I28" s="23">
        <f>+VLOOKUP(Sheet2!H28,data!$C$11:$AA$58,21,FALSE)</f>
        <v>0.91</v>
      </c>
      <c r="J28" s="23">
        <f>+VLOOKUP(H28,data!$C$11:$AA$58,22,FALSE)</f>
        <v>0.91739999999999999</v>
      </c>
      <c r="K28" s="23">
        <f>+VLOOKUP(H28,data!$C$11:$AA$58,23,FALSE)</f>
        <v>0.91479999999999995</v>
      </c>
      <c r="L28" s="23">
        <f>+VLOOKUP(H28,data!$C$11:$AA$58,24,FALSE)</f>
        <v>0.91859999999999997</v>
      </c>
    </row>
    <row r="29" spans="1:12" ht="14.25" x14ac:dyDescent="0.25">
      <c r="A29" s="6">
        <v>27</v>
      </c>
      <c r="B29" s="16">
        <v>9.8000000000000004E-2</v>
      </c>
      <c r="C29" s="16">
        <v>6.7000000000000004E-2</v>
      </c>
      <c r="D29" s="16">
        <v>4.7E-2</v>
      </c>
      <c r="E29" s="16">
        <v>2.5000000000000001E-2</v>
      </c>
      <c r="H29" s="6">
        <v>27</v>
      </c>
      <c r="I29" s="23">
        <f>+VLOOKUP(Sheet2!H29,data!$C$11:$AA$58,21,FALSE)</f>
        <v>0.91669999999999996</v>
      </c>
      <c r="J29" s="23">
        <f>+VLOOKUP(H29,data!$C$11:$AA$58,22,FALSE)</f>
        <v>0.91669999999999996</v>
      </c>
      <c r="K29" s="23">
        <f>+VLOOKUP(H29,data!$C$11:$AA$58,23,FALSE)</f>
        <v>0.91710000000000003</v>
      </c>
      <c r="L29" s="23">
        <f>+VLOOKUP(H29,data!$C$11:$AA$58,24,FALSE)</f>
        <v>0.97</v>
      </c>
    </row>
    <row r="30" spans="1:12" ht="14.25" x14ac:dyDescent="0.25">
      <c r="A30" s="6">
        <v>28</v>
      </c>
      <c r="B30" s="16">
        <v>9.1999999999999998E-2</v>
      </c>
      <c r="C30" s="16">
        <v>1.4999999999999999E-2</v>
      </c>
      <c r="D30" s="16">
        <v>5.6000000000000001E-2</v>
      </c>
      <c r="E30" s="16">
        <v>6.7000000000000004E-2</v>
      </c>
      <c r="H30" s="6">
        <v>28</v>
      </c>
      <c r="I30" s="23">
        <f>+VLOOKUP(Sheet2!H30,data!$C$11:$AA$58,21,FALSE)</f>
        <v>0.91439999999999999</v>
      </c>
      <c r="J30" s="23">
        <f>+VLOOKUP(H30,data!$C$11:$AA$58,22,FALSE)</f>
        <v>0.91710000000000003</v>
      </c>
      <c r="K30" s="23">
        <f>+VLOOKUP(H30,data!$C$11:$AA$58,23,FALSE)</f>
        <v>0.91890000000000005</v>
      </c>
      <c r="L30" s="23">
        <f>+VLOOKUP(H30,data!$C$11:$AA$58,24,FALSE)</f>
        <v>0.9143</v>
      </c>
    </row>
    <row r="31" spans="1:12" ht="14.25" x14ac:dyDescent="0.25">
      <c r="A31" s="6">
        <v>29</v>
      </c>
      <c r="B31" s="16">
        <v>8.4000000000000005E-2</v>
      </c>
      <c r="C31" s="16">
        <v>1.7999999999999999E-2</v>
      </c>
      <c r="D31" s="16">
        <v>9.8000000000000004E-2</v>
      </c>
      <c r="E31" s="16">
        <v>1.6E-2</v>
      </c>
      <c r="H31" s="6">
        <v>29</v>
      </c>
      <c r="I31" s="23">
        <f>+VLOOKUP(Sheet2!H31,data!$C$11:$AA$58,21,FALSE)</f>
        <v>0.91449999999999998</v>
      </c>
      <c r="J31" s="23">
        <f>+VLOOKUP(H31,data!$C$11:$AA$58,22,FALSE)</f>
        <v>0.91220000000000001</v>
      </c>
      <c r="K31" s="23">
        <f>+VLOOKUP(H31,data!$C$11:$AA$58,23,FALSE)</f>
        <v>0.9133</v>
      </c>
      <c r="L31" s="23">
        <f>+VLOOKUP(H31,data!$C$11:$AA$58,24,FALSE)</f>
        <v>0.9153</v>
      </c>
    </row>
    <row r="32" spans="1:12" ht="14.25" x14ac:dyDescent="0.25">
      <c r="A32" s="6">
        <v>30</v>
      </c>
      <c r="B32" s="16">
        <v>1.0999999999999999E-2</v>
      </c>
      <c r="C32" s="16">
        <v>1.0999999999999999E-2</v>
      </c>
      <c r="D32" s="16">
        <v>4.2000000000000003E-2</v>
      </c>
      <c r="E32" s="16">
        <v>0.01</v>
      </c>
      <c r="H32" s="6">
        <v>30</v>
      </c>
      <c r="I32" s="23">
        <f>+VLOOKUP(Sheet2!H32,data!$C$11:$AA$58,21,FALSE)</f>
        <v>0.90990000000000004</v>
      </c>
      <c r="J32" s="23">
        <f>+VLOOKUP(H32,data!$C$11:$AA$58,22,FALSE)</f>
        <v>0.91049999999999998</v>
      </c>
      <c r="K32" s="23">
        <f>+VLOOKUP(H32,data!$C$11:$AA$58,23,FALSE)</f>
        <v>0.90990000000000004</v>
      </c>
      <c r="L32" s="23">
        <f>+VLOOKUP(H32,data!$C$11:$AA$58,24,FALSE)</f>
        <v>0.91779999999999995</v>
      </c>
    </row>
    <row r="33" spans="1:12" ht="14.25" x14ac:dyDescent="0.25">
      <c r="A33" s="6">
        <v>31</v>
      </c>
      <c r="B33" s="16">
        <v>4.2000000000000003E-2</v>
      </c>
      <c r="C33" s="16">
        <v>7.3999999999999996E-2</v>
      </c>
      <c r="D33" s="16">
        <v>4.3999999999999997E-2</v>
      </c>
      <c r="E33" s="16">
        <v>9.1999999999999998E-2</v>
      </c>
      <c r="H33" s="6">
        <v>31</v>
      </c>
      <c r="I33" s="23">
        <f>+VLOOKUP(Sheet2!H33,data!$C$11:$AA$58,21,FALSE)</f>
        <v>0.91269999999999996</v>
      </c>
      <c r="J33" s="23">
        <f>+VLOOKUP(H33,data!$C$11:$AA$58,22,FALSE)</f>
        <v>0.91820000000000002</v>
      </c>
      <c r="K33" s="23">
        <f>+VLOOKUP(H33,data!$C$11:$AA$58,23,FALSE)</f>
        <v>0.91059999999999997</v>
      </c>
      <c r="L33" s="23">
        <f>+VLOOKUP(H33,data!$C$11:$AA$58,24,FALSE)</f>
        <v>0.90939999999999999</v>
      </c>
    </row>
    <row r="34" spans="1:12" ht="14.25" x14ac:dyDescent="0.25">
      <c r="A34" s="6">
        <v>32</v>
      </c>
      <c r="B34" s="16">
        <v>3.2000000000000001E-2</v>
      </c>
      <c r="C34" s="16">
        <v>9.5000000000000001E-2</v>
      </c>
      <c r="D34" s="16">
        <v>3.5000000000000003E-2</v>
      </c>
      <c r="E34" s="16">
        <v>2.8000000000000001E-2</v>
      </c>
      <c r="H34" s="6">
        <v>32</v>
      </c>
      <c r="I34" s="23">
        <f>+VLOOKUP(Sheet2!H34,data!$C$11:$AA$58,21,FALSE)</f>
        <v>0.91739999999999999</v>
      </c>
      <c r="J34" s="23">
        <f>+VLOOKUP(H34,data!$C$11:$AA$58,22,FALSE)</f>
        <v>0.91269999999999996</v>
      </c>
      <c r="K34" s="23">
        <f>+VLOOKUP(H34,data!$C$11:$AA$58,23,FALSE)</f>
        <v>0.91539999999999999</v>
      </c>
      <c r="L34" s="23">
        <f>+VLOOKUP(H34,data!$C$11:$AA$58,24,FALSE)</f>
        <v>0.91479999999999995</v>
      </c>
    </row>
    <row r="35" spans="1:12" ht="14.25" x14ac:dyDescent="0.25">
      <c r="A35" s="6">
        <v>33</v>
      </c>
      <c r="B35" s="16">
        <v>2.7E-2</v>
      </c>
      <c r="C35" s="16">
        <v>7.5999999999999998E-2</v>
      </c>
      <c r="D35" s="16">
        <v>6.3E-2</v>
      </c>
      <c r="E35" s="16">
        <v>7.0999999999999994E-2</v>
      </c>
      <c r="H35" s="6">
        <v>33</v>
      </c>
      <c r="I35" s="23">
        <f>+VLOOKUP(Sheet2!H35,data!$C$11:$AA$58,21,FALSE)</f>
        <v>0.91200000000000003</v>
      </c>
      <c r="J35" s="23">
        <f>+VLOOKUP(H35,data!$C$11:$AA$58,22,FALSE)</f>
        <v>0.91559999999999997</v>
      </c>
      <c r="K35" s="23">
        <f>+VLOOKUP(H35,data!$C$11:$AA$58,23,FALSE)</f>
        <v>0.9133</v>
      </c>
      <c r="L35" s="23">
        <f>+VLOOKUP(H35,data!$C$11:$AA$58,24,FALSE)</f>
        <v>0.91869999999999996</v>
      </c>
    </row>
    <row r="36" spans="1:12" ht="14.25" x14ac:dyDescent="0.25">
      <c r="A36" s="6">
        <v>34</v>
      </c>
      <c r="B36" s="16">
        <v>5.8000000000000003E-2</v>
      </c>
      <c r="C36" s="16">
        <v>5.8999999999999997E-2</v>
      </c>
      <c r="D36" s="16">
        <v>8.1000000000000003E-2</v>
      </c>
      <c r="E36" s="16">
        <v>0.04</v>
      </c>
      <c r="H36" s="6">
        <v>34</v>
      </c>
      <c r="I36" s="23">
        <f>+VLOOKUP(Sheet2!H36,data!$C$11:$AA$58,21,FALSE)</f>
        <v>0.91320000000000001</v>
      </c>
      <c r="J36" s="23">
        <f>+VLOOKUP(H36,data!$C$11:$AA$58,22,FALSE)</f>
        <v>0.9143</v>
      </c>
      <c r="K36" s="23">
        <f>+VLOOKUP(H36,data!$C$11:$AA$58,23,FALSE)</f>
        <v>0.91790000000000005</v>
      </c>
      <c r="L36" s="23">
        <f>+VLOOKUP(H36,data!$C$11:$AA$58,24,FALSE)</f>
        <v>0.90910000000000002</v>
      </c>
    </row>
    <row r="37" spans="1:12" ht="14.25" x14ac:dyDescent="0.25">
      <c r="A37" s="6">
        <v>35</v>
      </c>
      <c r="B37" s="16">
        <v>3.1E-2</v>
      </c>
      <c r="C37" s="16">
        <v>6.9000000000000006E-2</v>
      </c>
      <c r="D37" s="16">
        <v>8.6999999999999994E-2</v>
      </c>
      <c r="E37" s="16">
        <v>0.05</v>
      </c>
      <c r="H37" s="6">
        <v>35</v>
      </c>
      <c r="I37" s="23">
        <f>+VLOOKUP(Sheet2!H37,data!$C$11:$AA$58,21,FALSE)</f>
        <v>0.91359999999999997</v>
      </c>
      <c r="J37" s="23">
        <f>+VLOOKUP(H37,data!$C$11:$AA$58,22,FALSE)</f>
        <v>0.91349999999999998</v>
      </c>
      <c r="K37" s="23">
        <f>+VLOOKUP(H37,data!$C$11:$AA$58,23,FALSE)</f>
        <v>0.90980000000000005</v>
      </c>
      <c r="L37" s="23">
        <f>+VLOOKUP(H37,data!$C$11:$AA$58,24,FALSE)</f>
        <v>0.91600000000000004</v>
      </c>
    </row>
    <row r="38" spans="1:12" ht="15" thickBot="1" x14ac:dyDescent="0.3">
      <c r="A38" s="15">
        <v>36</v>
      </c>
      <c r="B38" s="16">
        <v>6.7000000000000004E-2</v>
      </c>
      <c r="C38" s="16">
        <v>8.9999999999999993E-3</v>
      </c>
      <c r="D38" s="16">
        <v>6.7000000000000004E-2</v>
      </c>
      <c r="E38" s="16">
        <v>4.8000000000000001E-2</v>
      </c>
      <c r="H38" s="15">
        <v>36</v>
      </c>
      <c r="I38" s="23">
        <f>+VLOOKUP(Sheet2!H38,data!$C$11:$AA$58,21,FALSE)</f>
        <v>0.91320000000000001</v>
      </c>
      <c r="J38" s="23">
        <f>+VLOOKUP(H38,data!$C$11:$AA$58,22,FALSE)</f>
        <v>0.91820000000000002</v>
      </c>
      <c r="K38" s="23">
        <f>+VLOOKUP(H38,data!$C$11:$AA$58,23,FALSE)</f>
        <v>0.90949999999999998</v>
      </c>
      <c r="L38" s="23">
        <f>+VLOOKUP(H38,data!$C$11:$AA$58,24,FALSE)</f>
        <v>0.91390000000000005</v>
      </c>
    </row>
    <row r="39" spans="1:12" ht="14.25" x14ac:dyDescent="0.25">
      <c r="A39" s="11">
        <v>37</v>
      </c>
      <c r="B39" s="16">
        <v>1.0999999999999999E-2</v>
      </c>
      <c r="C39" s="16">
        <v>4.9000000000000002E-2</v>
      </c>
      <c r="D39" s="16">
        <v>1.0999999999999999E-2</v>
      </c>
      <c r="E39" s="16">
        <v>4.2999999999999997E-2</v>
      </c>
      <c r="H39" s="11">
        <v>37</v>
      </c>
      <c r="I39" s="23">
        <f>+VLOOKUP(Sheet2!H39,data!$C$11:$AA$58,21,FALSE)</f>
        <v>0.91</v>
      </c>
      <c r="J39" s="23">
        <f>+VLOOKUP(H39,data!$C$11:$AA$58,22,FALSE)</f>
        <v>0.91090000000000004</v>
      </c>
      <c r="K39" s="23">
        <f>+VLOOKUP(H39,data!$C$11:$AA$58,23,FALSE)</f>
        <v>0.91910000000000003</v>
      </c>
      <c r="L39" s="23">
        <f>+VLOOKUP(H39,data!$C$11:$AA$58,24,FALSE)</f>
        <v>0.91600000000000004</v>
      </c>
    </row>
    <row r="40" spans="1:12" ht="14.25" x14ac:dyDescent="0.25">
      <c r="A40" s="6">
        <v>38</v>
      </c>
      <c r="B40" s="16">
        <v>7.8E-2</v>
      </c>
      <c r="C40" s="16">
        <v>9.9000000000000005E-2</v>
      </c>
      <c r="D40" s="16">
        <v>5.8000000000000003E-2</v>
      </c>
      <c r="E40" s="16">
        <v>4.8000000000000001E-2</v>
      </c>
      <c r="H40" s="6">
        <v>38</v>
      </c>
      <c r="I40" s="23">
        <f>+VLOOKUP(Sheet2!H40,data!$C$11:$AA$58,21,FALSE)</f>
        <v>0.91410000000000002</v>
      </c>
      <c r="J40" s="23">
        <f>+VLOOKUP(H40,data!$C$11:$AA$58,22,FALSE)</f>
        <v>0.91420000000000001</v>
      </c>
      <c r="K40" s="23">
        <f>+VLOOKUP(H40,data!$C$11:$AA$58,23,FALSE)</f>
        <v>0.91190000000000004</v>
      </c>
      <c r="L40" s="23">
        <f>+VLOOKUP(H40,data!$C$11:$AA$58,24,FALSE)</f>
        <v>0.9123</v>
      </c>
    </row>
    <row r="41" spans="1:12" ht="14.25" x14ac:dyDescent="0.25">
      <c r="A41" s="6">
        <v>39</v>
      </c>
      <c r="B41" s="16">
        <v>4.2000000000000003E-2</v>
      </c>
      <c r="C41" s="16">
        <v>3.2000000000000001E-2</v>
      </c>
      <c r="D41" s="16">
        <v>3.6999999999999998E-2</v>
      </c>
      <c r="E41" s="16">
        <v>3.1E-2</v>
      </c>
      <c r="H41" s="6">
        <v>39</v>
      </c>
      <c r="I41" s="23">
        <f>+VLOOKUP(Sheet2!H41,data!$C$11:$AA$58,21,FALSE)</f>
        <v>0.91239999999999999</v>
      </c>
      <c r="J41" s="23">
        <f>+VLOOKUP(H41,data!$C$11:$AA$58,22,FALSE)</f>
        <v>0.91180000000000005</v>
      </c>
      <c r="K41" s="23">
        <f>+VLOOKUP(H41,data!$C$11:$AA$58,23,FALSE)</f>
        <v>0.90939999999999999</v>
      </c>
      <c r="L41" s="23">
        <f>+VLOOKUP(H41,data!$C$11:$AA$58,24,FALSE)</f>
        <v>0.91139999999999999</v>
      </c>
    </row>
    <row r="42" spans="1:12" ht="14.25" x14ac:dyDescent="0.25">
      <c r="A42" s="6">
        <v>40</v>
      </c>
      <c r="B42" s="16">
        <v>0</v>
      </c>
      <c r="C42" s="16">
        <v>1.2E-2</v>
      </c>
      <c r="D42" s="16">
        <v>6.7000000000000004E-2</v>
      </c>
      <c r="E42" s="16">
        <v>0.09</v>
      </c>
      <c r="H42" s="6">
        <v>40</v>
      </c>
      <c r="I42" s="23">
        <f>+VLOOKUP(Sheet2!H42,data!$C$11:$AA$58,21,FALSE)</f>
        <v>0.90980000000000005</v>
      </c>
      <c r="J42" s="23">
        <f>+VLOOKUP(H42,data!$C$11:$AA$58,22,FALSE)</f>
        <v>0.91110000000000002</v>
      </c>
      <c r="K42" s="23">
        <f>+VLOOKUP(H42,data!$C$11:$AA$58,23,FALSE)</f>
        <v>0.91300000000000003</v>
      </c>
      <c r="L42" s="23">
        <f>+VLOOKUP(H42,data!$C$11:$AA$58,24,FALSE)</f>
        <v>0.91059999999999997</v>
      </c>
    </row>
    <row r="43" spans="1:12" ht="14.25" x14ac:dyDescent="0.25">
      <c r="A43" s="6">
        <v>41</v>
      </c>
      <c r="B43" s="16">
        <v>2.5999999999999999E-2</v>
      </c>
      <c r="C43" s="16">
        <v>8.7999999999999995E-2</v>
      </c>
      <c r="D43" s="16">
        <v>0.08</v>
      </c>
      <c r="E43" s="16">
        <v>2.1000000000000001E-2</v>
      </c>
      <c r="H43" s="6">
        <v>41</v>
      </c>
      <c r="I43" s="23">
        <f>+VLOOKUP(Sheet2!H43,data!$C$11:$AA$58,21,FALSE)</f>
        <v>0.91320000000000001</v>
      </c>
      <c r="J43" s="23">
        <f>+VLOOKUP(H43,data!$C$11:$AA$58,22,FALSE)</f>
        <v>0.91259999999999997</v>
      </c>
      <c r="K43" s="23">
        <f>+VLOOKUP(H43,data!$C$11:$AA$58,23,FALSE)</f>
        <v>0.91739999999999999</v>
      </c>
      <c r="L43" s="23">
        <f>+VLOOKUP(H43,data!$C$11:$AA$58,24,FALSE)</f>
        <v>0.91090000000000004</v>
      </c>
    </row>
    <row r="44" spans="1:12" ht="14.25" x14ac:dyDescent="0.25">
      <c r="A44" s="6">
        <v>42</v>
      </c>
      <c r="B44" s="16">
        <v>2.8000000000000001E-2</v>
      </c>
      <c r="C44" s="16">
        <v>6.5000000000000002E-2</v>
      </c>
      <c r="D44" s="16">
        <v>3.5999999999999997E-2</v>
      </c>
      <c r="E44" s="16">
        <v>7.4999999999999997E-2</v>
      </c>
      <c r="H44" s="6">
        <v>42</v>
      </c>
      <c r="I44" s="23">
        <f>+VLOOKUP(Sheet2!H44,data!$C$11:$AA$58,21,FALSE)</f>
        <v>0.91120000000000001</v>
      </c>
      <c r="J44" s="23">
        <f>+VLOOKUP(H44,data!$C$11:$AA$58,22,FALSE)</f>
        <v>0.9133</v>
      </c>
      <c r="K44" s="23">
        <f>+VLOOKUP(H44,data!$C$11:$AA$58,23,FALSE)</f>
        <v>0.9143</v>
      </c>
      <c r="L44" s="23">
        <f>+VLOOKUP(H44,data!$C$11:$AA$58,24,FALSE)</f>
        <v>0.91579999999999995</v>
      </c>
    </row>
    <row r="45" spans="1:12" ht="14.25" x14ac:dyDescent="0.25">
      <c r="A45" s="6">
        <v>43</v>
      </c>
      <c r="B45" s="16">
        <v>6.5000000000000002E-2</v>
      </c>
      <c r="C45" s="16">
        <v>4.1000000000000002E-2</v>
      </c>
      <c r="D45" s="16">
        <v>9.8000000000000004E-2</v>
      </c>
      <c r="E45" s="16">
        <v>2.7E-2</v>
      </c>
      <c r="H45" s="6">
        <v>43</v>
      </c>
      <c r="I45" s="23">
        <f>+VLOOKUP(Sheet2!H45,data!$C$11:$AA$58,21,FALSE)</f>
        <v>0.91590000000000005</v>
      </c>
      <c r="J45" s="23">
        <f>+VLOOKUP(H45,data!$C$11:$AA$58,22,FALSE)</f>
        <v>0.9123</v>
      </c>
      <c r="K45" s="23">
        <f>+VLOOKUP(H45,data!$C$11:$AA$58,23,FALSE)</f>
        <v>0.91759999999999997</v>
      </c>
      <c r="L45" s="23">
        <f>+VLOOKUP(H45,data!$C$11:$AA$58,24,FALSE)</f>
        <v>0.91100000000000003</v>
      </c>
    </row>
    <row r="46" spans="1:12" ht="14.25" x14ac:dyDescent="0.25">
      <c r="A46" s="6">
        <v>44</v>
      </c>
      <c r="B46" s="16">
        <v>5.6000000000000001E-2</v>
      </c>
      <c r="C46" s="16">
        <v>2.3E-2</v>
      </c>
      <c r="D46" s="16">
        <v>7.4999999999999997E-2</v>
      </c>
      <c r="E46" s="16">
        <v>1.4E-2</v>
      </c>
      <c r="H46" s="6">
        <v>44</v>
      </c>
      <c r="I46" s="23">
        <f>+VLOOKUP(Sheet2!H46,data!$C$11:$AA$58,21,FALSE)</f>
        <v>0.91269999999999996</v>
      </c>
      <c r="J46" s="23">
        <f>+VLOOKUP(H46,data!$C$11:$AA$58,22,FALSE)</f>
        <v>0.91169999999999995</v>
      </c>
      <c r="K46" s="23">
        <f>+VLOOKUP(H46,data!$C$11:$AA$58,23,FALSE)</f>
        <v>0.91700000000000004</v>
      </c>
      <c r="L46" s="23">
        <f>+VLOOKUP(H46,data!$C$11:$AA$58,24,FALSE)</f>
        <v>0.90949999999999998</v>
      </c>
    </row>
    <row r="47" spans="1:12" ht="14.25" x14ac:dyDescent="0.25">
      <c r="A47" s="6">
        <v>45</v>
      </c>
      <c r="B47" s="16">
        <v>8.9999999999999993E-3</v>
      </c>
      <c r="C47" s="16">
        <v>2.1000000000000001E-2</v>
      </c>
      <c r="D47" s="16">
        <v>4.5999999999999999E-2</v>
      </c>
      <c r="E47" s="16">
        <v>2.3E-2</v>
      </c>
      <c r="H47" s="6">
        <v>45</v>
      </c>
      <c r="I47" s="23">
        <f>+VLOOKUP(Sheet2!H47,data!$C$11:$AA$58,21,FALSE)</f>
        <v>0.9173</v>
      </c>
      <c r="J47" s="23">
        <f>+VLOOKUP(H47,data!$C$11:$AA$58,22,FALSE)</f>
        <v>0.90980000000000005</v>
      </c>
      <c r="K47" s="23">
        <f>+VLOOKUP(H47,data!$C$11:$AA$58,23,FALSE)</f>
        <v>0.91710000000000003</v>
      </c>
      <c r="L47" s="23">
        <f>+VLOOKUP(H47,data!$C$11:$AA$58,24,FALSE)</f>
        <v>0.91090000000000004</v>
      </c>
    </row>
    <row r="48" spans="1:12" ht="14.25" x14ac:dyDescent="0.25">
      <c r="A48" s="6">
        <v>46</v>
      </c>
      <c r="B48" s="16">
        <v>1E-3</v>
      </c>
      <c r="C48" s="16">
        <v>5.3999999999999999E-2</v>
      </c>
      <c r="D48" s="16">
        <v>3.6999999999999998E-2</v>
      </c>
      <c r="E48" s="16">
        <v>3.7999999999999999E-2</v>
      </c>
      <c r="H48" s="6">
        <v>46</v>
      </c>
      <c r="I48" s="23">
        <f>+VLOOKUP(Sheet2!H48,data!$C$11:$AA$58,21,FALSE)</f>
        <v>0.90910000000000002</v>
      </c>
      <c r="J48" s="23">
        <f>+VLOOKUP(H48,data!$C$11:$AA$58,22,FALSE)</f>
        <v>0.91659999999999997</v>
      </c>
      <c r="K48" s="23">
        <f>+VLOOKUP(H48,data!$C$11:$AA$58,23,FALSE)</f>
        <v>0.91159999999999997</v>
      </c>
      <c r="L48" s="23">
        <f>+VLOOKUP(H48,data!$C$11:$AA$58,24,FALSE)</f>
        <v>0.9123</v>
      </c>
    </row>
    <row r="49" spans="1:12" ht="14.25" x14ac:dyDescent="0.25">
      <c r="A49" s="6">
        <v>47</v>
      </c>
      <c r="B49" s="16">
        <v>1.2999999999999999E-2</v>
      </c>
      <c r="C49" s="16">
        <v>1.0999999999999999E-2</v>
      </c>
      <c r="D49" s="16">
        <v>6.4000000000000001E-2</v>
      </c>
      <c r="E49" s="16">
        <v>2E-3</v>
      </c>
      <c r="H49" s="6">
        <v>47</v>
      </c>
      <c r="I49" s="23">
        <f>+VLOOKUP(Sheet2!H49,data!$C$11:$AA$58,21,FALSE)</f>
        <v>0.91720000000000002</v>
      </c>
      <c r="J49" s="23">
        <f>+VLOOKUP(H49,data!$C$11:$AA$58,22,FALSE)</f>
        <v>0.91910000000000003</v>
      </c>
      <c r="K49" s="23">
        <f>+VLOOKUP(H49,data!$C$11:$AA$58,23,FALSE)</f>
        <v>0.91600000000000004</v>
      </c>
      <c r="L49" s="23">
        <f>+VLOOKUP(H49,data!$C$11:$AA$58,24,FALSE)</f>
        <v>0.91279999999999994</v>
      </c>
    </row>
    <row r="50" spans="1:12" ht="15" thickBot="1" x14ac:dyDescent="0.3">
      <c r="A50" s="15">
        <v>48</v>
      </c>
      <c r="B50" s="16">
        <v>6.6000000000000003E-2</v>
      </c>
      <c r="C50" s="16">
        <v>5.2999999999999999E-2</v>
      </c>
      <c r="D50" s="16">
        <v>0.09</v>
      </c>
      <c r="E50" s="16">
        <v>7.4999999999999997E-2</v>
      </c>
      <c r="H50" s="15">
        <v>48</v>
      </c>
      <c r="I50" s="23">
        <f>+VLOOKUP(Sheet2!H50,data!$C$11:$AA$58,21,FALSE)</f>
        <v>0.9113</v>
      </c>
      <c r="J50" s="23">
        <f>+VLOOKUP(H50,data!$C$11:$AA$58,22,FALSE)</f>
        <v>0.9113</v>
      </c>
      <c r="K50" s="23">
        <f>+VLOOKUP(H50,data!$C$11:$AA$58,23,FALSE)</f>
        <v>0.91310000000000002</v>
      </c>
      <c r="L50" s="23">
        <f>+VLOOKUP(H50,data!$C$11:$AA$58,24,FALSE)</f>
        <v>0.91110000000000002</v>
      </c>
    </row>
  </sheetData>
  <phoneticPr fontId="1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22433" r:id="rId4" name="Spinner 1">
              <controlPr defaultSize="0" autoPict="0">
                <anchor moveWithCells="1" sizeWithCells="1">
                  <from>
                    <xdr:col>12</xdr:col>
                    <xdr:colOff>95250</xdr:colOff>
                    <xdr:row>1</xdr:row>
                    <xdr:rowOff>57150</xdr:rowOff>
                  </from>
                  <to>
                    <xdr:col>12</xdr:col>
                    <xdr:colOff>457200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6AC5B-3491-4E58-BE9B-CEACCEEA5044}">
  <dimension ref="C6:Q54"/>
  <sheetViews>
    <sheetView workbookViewId="0">
      <selection activeCell="D7" sqref="D7"/>
    </sheetView>
  </sheetViews>
  <sheetFormatPr defaultRowHeight="12.75" x14ac:dyDescent="0.2"/>
  <cols>
    <col min="13" max="13" width="10.28515625" bestFit="1" customWidth="1"/>
  </cols>
  <sheetData>
    <row r="6" spans="4:17" ht="13.5" thickBot="1" x14ac:dyDescent="0.25">
      <c r="L6" s="43" t="s">
        <v>46</v>
      </c>
      <c r="M6" s="43" t="s">
        <v>50</v>
      </c>
      <c r="N6" s="43" t="s">
        <v>48</v>
      </c>
      <c r="Q6" s="43" t="s">
        <v>49</v>
      </c>
    </row>
    <row r="7" spans="4:17" ht="14.25" x14ac:dyDescent="0.2">
      <c r="D7" s="43" t="s">
        <v>7</v>
      </c>
      <c r="K7" s="11">
        <v>1</v>
      </c>
      <c r="L7">
        <f>VLOOKUP(K7,calc!$B$4:$U$53,Sheet3!$D$11+1,0)</f>
        <v>118</v>
      </c>
      <c r="M7" s="44">
        <f>VLOOKUP(K7,Sheet2!$A$3:$E$50,$D$11+1,0)</f>
        <v>8.0000000000000002E-3</v>
      </c>
      <c r="N7" s="46">
        <f>VLOOKUP(K7,Sheet2!$H$2:$L$50,Sheet3!$D$11+1,0)</f>
        <v>0.91149999999999998</v>
      </c>
      <c r="P7" s="11">
        <v>1</v>
      </c>
      <c r="Q7" s="16">
        <v>8.0000000000000002E-3</v>
      </c>
    </row>
    <row r="8" spans="4:17" ht="14.25" x14ac:dyDescent="0.2">
      <c r="D8" s="43" t="s">
        <v>8</v>
      </c>
      <c r="K8" s="6">
        <v>2</v>
      </c>
      <c r="L8">
        <f>VLOOKUP(K8,calc!$B$4:$U$53,Sheet3!$D$11+1,0)</f>
        <v>129</v>
      </c>
      <c r="M8" s="44">
        <f>VLOOKUP(K8,Sheet2!$A$3:$E$50,$D$11+1,0)</f>
        <v>9.1999999999999998E-2</v>
      </c>
      <c r="N8" s="46">
        <f>VLOOKUP(K8,Sheet2!$H$2:$L$50,Sheet3!$D$11+1,0)</f>
        <v>0.91439999999999999</v>
      </c>
      <c r="P8" s="6">
        <v>2</v>
      </c>
      <c r="Q8" s="16">
        <v>9.1999999999999998E-2</v>
      </c>
    </row>
    <row r="9" spans="4:17" ht="14.25" x14ac:dyDescent="0.2">
      <c r="D9" s="43" t="s">
        <v>9</v>
      </c>
      <c r="K9" s="6">
        <v>3</v>
      </c>
      <c r="L9">
        <f>VLOOKUP(K9,calc!$B$4:$U$53,Sheet3!$D$11+1,0)</f>
        <v>167</v>
      </c>
      <c r="M9" s="44">
        <f>VLOOKUP(K9,Sheet2!$A$3:$E$50,$D$11+1,0)</f>
        <v>1.7999999999999999E-2</v>
      </c>
      <c r="N9" s="46">
        <f>VLOOKUP(K9,Sheet2!$H$2:$L$50,Sheet3!$D$11+1,0)</f>
        <v>0.9093</v>
      </c>
      <c r="P9" s="6">
        <v>3</v>
      </c>
      <c r="Q9" s="16">
        <v>1.7999999999999999E-2</v>
      </c>
    </row>
    <row r="10" spans="4:17" ht="14.25" x14ac:dyDescent="0.2">
      <c r="D10" s="43" t="s">
        <v>10</v>
      </c>
      <c r="K10" s="6">
        <v>4</v>
      </c>
      <c r="L10">
        <f>VLOOKUP(K10,calc!$B$4:$U$53,Sheet3!$D$11+1,0)</f>
        <v>130</v>
      </c>
      <c r="M10" s="44">
        <f>VLOOKUP(K10,Sheet2!$A$3:$E$50,$D$11+1,0)</f>
        <v>3.4000000000000002E-2</v>
      </c>
      <c r="N10" s="46">
        <f>VLOOKUP(K10,Sheet2!$H$2:$L$50,Sheet3!$D$11+1,0)</f>
        <v>0.9093</v>
      </c>
      <c r="P10" s="6">
        <v>4</v>
      </c>
      <c r="Q10" s="16">
        <v>3.4000000000000002E-2</v>
      </c>
    </row>
    <row r="11" spans="4:17" ht="14.25" x14ac:dyDescent="0.2">
      <c r="D11">
        <v>1</v>
      </c>
      <c r="K11" s="6">
        <v>5</v>
      </c>
      <c r="L11">
        <f>VLOOKUP(K11,calc!$B$4:$U$53,Sheet3!$D$11+1,0)</f>
        <v>145</v>
      </c>
      <c r="M11" s="44">
        <f>VLOOKUP(K11,Sheet2!$A$3:$E$50,$D$11+1,0)</f>
        <v>2.5999999999999999E-2</v>
      </c>
      <c r="N11" s="46">
        <f>VLOOKUP(K11,Sheet2!$H$2:$L$50,Sheet3!$D$11+1,0)</f>
        <v>0.91810000000000003</v>
      </c>
      <c r="P11" s="6">
        <v>5</v>
      </c>
      <c r="Q11" s="16">
        <v>2.5999999999999999E-2</v>
      </c>
    </row>
    <row r="12" spans="4:17" ht="14.25" x14ac:dyDescent="0.2">
      <c r="K12" s="6">
        <v>6</v>
      </c>
      <c r="L12">
        <f>VLOOKUP(K12,calc!$B$4:$U$53,Sheet3!$D$11+1,0)</f>
        <v>107</v>
      </c>
      <c r="M12" s="44">
        <f>VLOOKUP(K12,Sheet2!$A$3:$E$50,$D$11+1,0)</f>
        <v>2.1000000000000001E-2</v>
      </c>
      <c r="N12" s="46">
        <f>VLOOKUP(K12,Sheet2!$H$2:$L$50,Sheet3!$D$11+1,0)</f>
        <v>0.9103</v>
      </c>
      <c r="P12" s="6">
        <v>6</v>
      </c>
      <c r="Q12" s="16">
        <v>2.1000000000000001E-2</v>
      </c>
    </row>
    <row r="13" spans="4:17" ht="14.25" x14ac:dyDescent="0.2">
      <c r="K13" s="6">
        <v>7</v>
      </c>
      <c r="L13">
        <f>VLOOKUP(K13,calc!$B$4:$U$53,Sheet3!$D$11+1,0)</f>
        <v>69</v>
      </c>
      <c r="M13" s="44">
        <f>VLOOKUP(K13,Sheet2!$A$3:$E$50,$D$11+1,0)</f>
        <v>7.3999999999999996E-2</v>
      </c>
      <c r="N13" s="46">
        <f>VLOOKUP(K13,Sheet2!$H$2:$L$50,Sheet3!$D$11+1,0)</f>
        <v>0.90959999999999996</v>
      </c>
      <c r="P13" s="6">
        <v>7</v>
      </c>
      <c r="Q13" s="16">
        <v>7.3999999999999996E-2</v>
      </c>
    </row>
    <row r="14" spans="4:17" ht="14.25" x14ac:dyDescent="0.2">
      <c r="K14" s="6">
        <v>8</v>
      </c>
      <c r="L14">
        <f>VLOOKUP(K14,calc!$B$4:$U$53,Sheet3!$D$11+1,0)</f>
        <v>163</v>
      </c>
      <c r="M14" s="44">
        <f>VLOOKUP(K14,Sheet2!$A$3:$E$50,$D$11+1,0)</f>
        <v>5.1999999999999998E-2</v>
      </c>
      <c r="N14" s="46">
        <f>VLOOKUP(K14,Sheet2!$H$2:$L$50,Sheet3!$D$11+1,0)</f>
        <v>0.9123</v>
      </c>
      <c r="P14" s="6">
        <v>8</v>
      </c>
      <c r="Q14" s="16">
        <v>5.1999999999999998E-2</v>
      </c>
    </row>
    <row r="15" spans="4:17" ht="14.25" x14ac:dyDescent="0.2">
      <c r="K15" s="6">
        <v>9</v>
      </c>
      <c r="L15">
        <f>VLOOKUP(K15,calc!$B$4:$U$53,Sheet3!$D$11+1,0)</f>
        <v>86</v>
      </c>
      <c r="M15" s="44">
        <f>VLOOKUP(K15,Sheet2!$A$3:$E$50,$D$11+1,0)</f>
        <v>3.7999999999999999E-2</v>
      </c>
      <c r="N15" s="46">
        <f>VLOOKUP(K15,Sheet2!$H$2:$L$50,Sheet3!$D$11+1,0)</f>
        <v>0.9143</v>
      </c>
      <c r="P15" s="6">
        <v>9</v>
      </c>
      <c r="Q15" s="16">
        <v>3.7999999999999999E-2</v>
      </c>
    </row>
    <row r="16" spans="4:17" ht="14.25" x14ac:dyDescent="0.2">
      <c r="K16" s="6">
        <v>10</v>
      </c>
      <c r="L16">
        <f>VLOOKUP(K16,calc!$B$4:$U$53,Sheet3!$D$11+1,0)</f>
        <v>115</v>
      </c>
      <c r="M16" s="44">
        <f>VLOOKUP(K16,Sheet2!$A$3:$E$50,$D$11+1,0)</f>
        <v>7.2999999999999995E-2</v>
      </c>
      <c r="N16" s="46">
        <f>VLOOKUP(K16,Sheet2!$H$2:$L$50,Sheet3!$D$11+1,0)</f>
        <v>0.91290000000000004</v>
      </c>
      <c r="P16" s="6">
        <v>10</v>
      </c>
      <c r="Q16" s="16">
        <v>7.2999999999999995E-2</v>
      </c>
    </row>
    <row r="17" spans="3:17" ht="14.25" x14ac:dyDescent="0.2">
      <c r="K17" s="6">
        <v>11</v>
      </c>
      <c r="L17">
        <f>VLOOKUP(K17,calc!$B$4:$U$53,Sheet3!$D$11+1,0)</f>
        <v>124</v>
      </c>
      <c r="M17" s="44">
        <f>VLOOKUP(K17,Sheet2!$A$3:$E$50,$D$11+1,0)</f>
        <v>6.4000000000000001E-2</v>
      </c>
      <c r="N17" s="46">
        <f>VLOOKUP(K17,Sheet2!$H$2:$L$50,Sheet3!$D$11+1,0)</f>
        <v>0.91220000000000001</v>
      </c>
      <c r="P17" s="6">
        <v>11</v>
      </c>
      <c r="Q17" s="16">
        <v>6.4000000000000001E-2</v>
      </c>
    </row>
    <row r="18" spans="3:17" ht="15" thickBot="1" x14ac:dyDescent="0.25">
      <c r="C18">
        <f>data!$C$4</f>
        <v>40</v>
      </c>
      <c r="D18" s="43" t="s">
        <v>49</v>
      </c>
      <c r="E18" t="s">
        <v>51</v>
      </c>
      <c r="F18" t="s">
        <v>52</v>
      </c>
      <c r="G18" t="s">
        <v>53</v>
      </c>
      <c r="K18" s="15">
        <v>12</v>
      </c>
      <c r="L18">
        <f>VLOOKUP(K18,calc!$B$4:$U$53,Sheet3!$D$11+1,0)</f>
        <v>144</v>
      </c>
      <c r="M18" s="44">
        <f>VLOOKUP(K18,Sheet2!$A$3:$E$50,$D$11+1,0)</f>
        <v>3.1E-2</v>
      </c>
      <c r="N18" s="46">
        <f>VLOOKUP(K18,Sheet2!$H$2:$L$50,Sheet3!$D$11+1,0)</f>
        <v>0.9163</v>
      </c>
      <c r="P18" s="15">
        <v>12</v>
      </c>
      <c r="Q18" s="16">
        <v>3.1E-2</v>
      </c>
    </row>
    <row r="19" spans="3:17" ht="14.25" x14ac:dyDescent="0.2">
      <c r="C19" t="s">
        <v>46</v>
      </c>
      <c r="D19">
        <f>VLOOKUP(data!$C$4,data!$C$11:$Z$58,10,0)</f>
        <v>4571</v>
      </c>
      <c r="E19">
        <f>VLOOKUP(data!C4,data!$C$11:$Z$58,11,0)</f>
        <v>4410</v>
      </c>
      <c r="F19">
        <f>VLOOKUP(data!C4,data!$C$11:$Z$58,12,0)</f>
        <v>5006</v>
      </c>
      <c r="G19">
        <f>VLOOKUP(data!C4,data!$C$11:$Z$58,13,0)</f>
        <v>4757</v>
      </c>
      <c r="K19" s="11">
        <v>13</v>
      </c>
      <c r="L19">
        <f>VLOOKUP(K19,calc!$B$4:$U$53,Sheet3!$D$11+1,0)</f>
        <v>110</v>
      </c>
      <c r="M19" s="44">
        <f>VLOOKUP(K19,Sheet2!$A$3:$E$50,$D$11+1,0)</f>
        <v>0.08</v>
      </c>
      <c r="N19" s="46">
        <f>VLOOKUP(K19,Sheet2!$H$2:$L$50,Sheet3!$D$11+1,0)</f>
        <v>0.9123</v>
      </c>
      <c r="P19" s="11">
        <v>13</v>
      </c>
      <c r="Q19" s="16">
        <v>0.08</v>
      </c>
    </row>
    <row r="20" spans="3:17" ht="14.25" x14ac:dyDescent="0.2">
      <c r="C20" t="s">
        <v>54</v>
      </c>
      <c r="D20" s="45">
        <f>VLOOKUP(data!$C$4,data!$C$11:$Z$58,16,0)</f>
        <v>0</v>
      </c>
      <c r="E20" s="45">
        <f>VLOOKUP(data!$C$4,data!$C$11:$Z$58,17,0)</f>
        <v>1.2E-2</v>
      </c>
      <c r="F20" s="45">
        <f>VLOOKUP(data!$C$4,data!$C$11:$Z$58,18,0)</f>
        <v>6.7000000000000004E-2</v>
      </c>
      <c r="G20" s="45">
        <f>VLOOKUP(data!$C$4,data!$C$11:$Z$58,19,0)</f>
        <v>0.09</v>
      </c>
      <c r="K20" s="6">
        <v>14</v>
      </c>
      <c r="L20">
        <f>VLOOKUP(K20,calc!$B$4:$U$53,Sheet3!$D$11+1,0)</f>
        <v>141</v>
      </c>
      <c r="M20" s="44">
        <f>VLOOKUP(K20,Sheet2!$A$3:$E$50,$D$11+1,0)</f>
        <v>7.3999999999999996E-2</v>
      </c>
      <c r="N20" s="46">
        <f>VLOOKUP(K20,Sheet2!$H$2:$L$50,Sheet3!$D$11+1,0)</f>
        <v>0.91090000000000004</v>
      </c>
      <c r="P20" s="6">
        <v>14</v>
      </c>
      <c r="Q20" s="16">
        <v>7.3999999999999996E-2</v>
      </c>
    </row>
    <row r="21" spans="3:17" ht="14.25" x14ac:dyDescent="0.2">
      <c r="C21" t="s">
        <v>48</v>
      </c>
      <c r="D21" s="46">
        <f>VLOOKUP(data!$C$4,data!$C$11:$Z$58,21,0)</f>
        <v>0.90980000000000005</v>
      </c>
      <c r="E21" s="46">
        <f>VLOOKUP(data!$C$4,data!$C$11:$Z$58,22,0)</f>
        <v>0.91110000000000002</v>
      </c>
      <c r="F21" s="46">
        <f>VLOOKUP(data!$C$4,data!$C$11:$Z$58,23,0)</f>
        <v>0.91300000000000003</v>
      </c>
      <c r="G21" s="46">
        <f>VLOOKUP(data!$C$4,data!$C$11:$Z$58,24,0)</f>
        <v>0.91059999999999997</v>
      </c>
      <c r="K21" s="6">
        <v>15</v>
      </c>
      <c r="L21">
        <f>VLOOKUP(K21,calc!$B$4:$U$53,Sheet3!$D$11+1,0)</f>
        <v>91</v>
      </c>
      <c r="M21" s="44">
        <f>VLOOKUP(K21,Sheet2!$A$3:$E$50,$D$11+1,0)</f>
        <v>3.0000000000000001E-3</v>
      </c>
      <c r="N21" s="46">
        <f>VLOOKUP(K21,Sheet2!$H$2:$L$50,Sheet3!$D$11+1,0)</f>
        <v>0.91359999999999997</v>
      </c>
      <c r="P21" s="6">
        <v>15</v>
      </c>
      <c r="Q21" s="16">
        <v>3.0000000000000001E-3</v>
      </c>
    </row>
    <row r="22" spans="3:17" ht="14.25" x14ac:dyDescent="0.2">
      <c r="K22" s="6">
        <v>16</v>
      </c>
      <c r="L22">
        <f>VLOOKUP(K22,calc!$B$4:$U$53,Sheet3!$D$11+1,0)</f>
        <v>83</v>
      </c>
      <c r="M22" s="44">
        <f>VLOOKUP(K22,Sheet2!$A$3:$E$50,$D$11+1,0)</f>
        <v>1.4E-2</v>
      </c>
      <c r="N22" s="46">
        <f>VLOOKUP(K22,Sheet2!$H$2:$L$50,Sheet3!$D$11+1,0)</f>
        <v>0.91220000000000001</v>
      </c>
      <c r="P22" s="6">
        <v>16</v>
      </c>
      <c r="Q22" s="16">
        <v>1.4E-2</v>
      </c>
    </row>
    <row r="23" spans="3:17" ht="14.25" x14ac:dyDescent="0.2">
      <c r="K23" s="6">
        <v>17</v>
      </c>
      <c r="L23">
        <f>VLOOKUP(K23,calc!$B$4:$U$53,Sheet3!$D$11+1,0)</f>
        <v>91</v>
      </c>
      <c r="M23" s="44">
        <f>VLOOKUP(K23,Sheet2!$A$3:$E$50,$D$11+1,0)</f>
        <v>3.3000000000000002E-2</v>
      </c>
      <c r="N23" s="46">
        <f>VLOOKUP(K23,Sheet2!$H$2:$L$50,Sheet3!$D$11+1,0)</f>
        <v>0.91539999999999999</v>
      </c>
      <c r="P23" s="6">
        <v>17</v>
      </c>
      <c r="Q23" s="16">
        <v>3.3000000000000002E-2</v>
      </c>
    </row>
    <row r="24" spans="3:17" ht="14.25" x14ac:dyDescent="0.2">
      <c r="K24" s="6">
        <v>18</v>
      </c>
      <c r="L24">
        <f>VLOOKUP(K24,calc!$B$4:$U$53,Sheet3!$D$11+1,0)</f>
        <v>125</v>
      </c>
      <c r="M24" s="44">
        <f>VLOOKUP(K24,Sheet2!$A$3:$E$50,$D$11+1,0)</f>
        <v>0.01</v>
      </c>
      <c r="N24" s="46">
        <f>VLOOKUP(K24,Sheet2!$H$2:$L$50,Sheet3!$D$11+1,0)</f>
        <v>0.91590000000000005</v>
      </c>
      <c r="P24" s="6">
        <v>18</v>
      </c>
      <c r="Q24" s="16">
        <v>0.01</v>
      </c>
    </row>
    <row r="25" spans="3:17" ht="14.25" x14ac:dyDescent="0.2">
      <c r="K25" s="6">
        <v>19</v>
      </c>
      <c r="L25">
        <f>VLOOKUP(K25,calc!$B$4:$U$53,Sheet3!$D$11+1,0)</f>
        <v>62</v>
      </c>
      <c r="M25" s="44">
        <f>VLOOKUP(K25,Sheet2!$A$3:$E$50,$D$11+1,0)</f>
        <v>3.7999999999999999E-2</v>
      </c>
      <c r="N25" s="46">
        <f>VLOOKUP(K25,Sheet2!$H$2:$L$50,Sheet3!$D$11+1,0)</f>
        <v>0.91879999999999995</v>
      </c>
      <c r="P25" s="6">
        <v>19</v>
      </c>
      <c r="Q25" s="16">
        <v>3.7999999999999999E-2</v>
      </c>
    </row>
    <row r="26" spans="3:17" ht="14.25" x14ac:dyDescent="0.2">
      <c r="K26" s="6">
        <v>20</v>
      </c>
      <c r="L26">
        <f>VLOOKUP(K26,calc!$B$4:$U$53,Sheet3!$D$11+1,0)</f>
        <v>154</v>
      </c>
      <c r="M26" s="44">
        <f>VLOOKUP(K26,Sheet2!$A$3:$E$50,$D$11+1,0)</f>
        <v>5.8999999999999997E-2</v>
      </c>
      <c r="N26" s="46">
        <f>VLOOKUP(K26,Sheet2!$H$2:$L$50,Sheet3!$D$11+1,0)</f>
        <v>0.91710000000000003</v>
      </c>
      <c r="P26" s="6">
        <v>20</v>
      </c>
      <c r="Q26" s="16">
        <v>5.8999999999999997E-2</v>
      </c>
    </row>
    <row r="27" spans="3:17" ht="14.25" x14ac:dyDescent="0.2">
      <c r="K27" s="6">
        <v>21</v>
      </c>
      <c r="L27">
        <f>VLOOKUP(K27,calc!$B$4:$U$53,Sheet3!$D$11+1,0)</f>
        <v>62</v>
      </c>
      <c r="M27" s="44">
        <f>VLOOKUP(K27,Sheet2!$A$3:$E$50,$D$11+1,0)</f>
        <v>6.6000000000000003E-2</v>
      </c>
      <c r="N27" s="46">
        <f>VLOOKUP(K27,Sheet2!$H$2:$L$50,Sheet3!$D$11+1,0)</f>
        <v>0.91820000000000002</v>
      </c>
      <c r="P27" s="6">
        <v>21</v>
      </c>
      <c r="Q27" s="16">
        <v>6.6000000000000003E-2</v>
      </c>
    </row>
    <row r="28" spans="3:17" ht="14.25" x14ac:dyDescent="0.2">
      <c r="K28" s="6">
        <v>22</v>
      </c>
      <c r="L28">
        <f>VLOOKUP(K28,calc!$B$4:$U$53,Sheet3!$D$11+1,0)</f>
        <v>74</v>
      </c>
      <c r="M28" s="44">
        <f>VLOOKUP(K28,Sheet2!$A$3:$E$50,$D$11+1,0)</f>
        <v>0.03</v>
      </c>
      <c r="N28" s="46">
        <f>VLOOKUP(K28,Sheet2!$H$2:$L$50,Sheet3!$D$11+1,0)</f>
        <v>0.91200000000000003</v>
      </c>
      <c r="P28" s="6">
        <v>22</v>
      </c>
      <c r="Q28" s="16">
        <v>0.03</v>
      </c>
    </row>
    <row r="29" spans="3:17" ht="14.25" x14ac:dyDescent="0.2">
      <c r="K29" s="6">
        <v>23</v>
      </c>
      <c r="L29">
        <f>VLOOKUP(K29,calc!$B$4:$U$53,Sheet3!$D$11+1,0)</f>
        <v>155</v>
      </c>
      <c r="M29" s="44">
        <f>VLOOKUP(K29,Sheet2!$A$3:$E$50,$D$11+1,0)</f>
        <v>8.5000000000000006E-2</v>
      </c>
      <c r="N29" s="46">
        <f>VLOOKUP(K29,Sheet2!$H$2:$L$50,Sheet3!$D$11+1,0)</f>
        <v>0.91320000000000001</v>
      </c>
      <c r="P29" s="6">
        <v>23</v>
      </c>
      <c r="Q29" s="16">
        <v>8.5000000000000006E-2</v>
      </c>
    </row>
    <row r="30" spans="3:17" ht="15" thickBot="1" x14ac:dyDescent="0.25">
      <c r="K30" s="15">
        <v>24</v>
      </c>
      <c r="L30">
        <f>VLOOKUP(K30,calc!$B$4:$U$53,Sheet3!$D$11+1,0)</f>
        <v>85</v>
      </c>
      <c r="M30" s="44">
        <f>VLOOKUP(K30,Sheet2!$A$3:$E$50,$D$11+1,0)</f>
        <v>1.9E-2</v>
      </c>
      <c r="N30" s="46">
        <f>VLOOKUP(K30,Sheet2!$H$2:$L$50,Sheet3!$D$11+1,0)</f>
        <v>0.91679999999999995</v>
      </c>
      <c r="P30" s="15">
        <v>24</v>
      </c>
      <c r="Q30" s="16">
        <v>1.9E-2</v>
      </c>
    </row>
    <row r="31" spans="3:17" ht="14.25" x14ac:dyDescent="0.2">
      <c r="K31" s="11">
        <v>25</v>
      </c>
      <c r="L31">
        <f>VLOOKUP(K31,calc!$B$4:$U$53,Sheet3!$D$11+1,0)</f>
        <v>88</v>
      </c>
      <c r="M31" s="44">
        <f>VLOOKUP(K31,Sheet2!$A$3:$E$50,$D$11+1,0)</f>
        <v>8.5000000000000006E-2</v>
      </c>
      <c r="N31" s="46">
        <f>VLOOKUP(K31,Sheet2!$H$2:$L$50,Sheet3!$D$11+1,0)</f>
        <v>0.91669999999999996</v>
      </c>
      <c r="P31" s="11">
        <v>25</v>
      </c>
      <c r="Q31" s="16">
        <v>8.5000000000000006E-2</v>
      </c>
    </row>
    <row r="32" spans="3:17" ht="14.25" x14ac:dyDescent="0.2">
      <c r="K32" s="6">
        <v>26</v>
      </c>
      <c r="L32">
        <f>VLOOKUP(K32,calc!$B$4:$U$53,Sheet3!$D$11+1,0)</f>
        <v>120</v>
      </c>
      <c r="M32" s="44">
        <f>VLOOKUP(K32,Sheet2!$A$3:$E$50,$D$11+1,0)</f>
        <v>3.5999999999999997E-2</v>
      </c>
      <c r="N32" s="46">
        <f>VLOOKUP(K32,Sheet2!$H$2:$L$50,Sheet3!$D$11+1,0)</f>
        <v>0.91</v>
      </c>
      <c r="P32" s="6">
        <v>26</v>
      </c>
      <c r="Q32" s="16">
        <v>3.5999999999999997E-2</v>
      </c>
    </row>
    <row r="33" spans="11:17" ht="14.25" x14ac:dyDescent="0.2">
      <c r="K33" s="6">
        <v>27</v>
      </c>
      <c r="L33">
        <f>VLOOKUP(K33,calc!$B$4:$U$53,Sheet3!$D$11+1,0)</f>
        <v>91</v>
      </c>
      <c r="M33" s="44">
        <f>VLOOKUP(K33,Sheet2!$A$3:$E$50,$D$11+1,0)</f>
        <v>9.8000000000000004E-2</v>
      </c>
      <c r="N33" s="46">
        <f>VLOOKUP(K33,Sheet2!$H$2:$L$50,Sheet3!$D$11+1,0)</f>
        <v>0.91669999999999996</v>
      </c>
      <c r="P33" s="6">
        <v>27</v>
      </c>
      <c r="Q33" s="16">
        <v>9.8000000000000004E-2</v>
      </c>
    </row>
    <row r="34" spans="11:17" ht="14.25" x14ac:dyDescent="0.2">
      <c r="K34" s="6">
        <v>28</v>
      </c>
      <c r="L34">
        <f>VLOOKUP(K34,calc!$B$4:$U$53,Sheet3!$D$11+1,0)</f>
        <v>62</v>
      </c>
      <c r="M34" s="44">
        <f>VLOOKUP(K34,Sheet2!$A$3:$E$50,$D$11+1,0)</f>
        <v>9.1999999999999998E-2</v>
      </c>
      <c r="N34" s="46">
        <f>VLOOKUP(K34,Sheet2!$H$2:$L$50,Sheet3!$D$11+1,0)</f>
        <v>0.91439999999999999</v>
      </c>
      <c r="P34" s="6">
        <v>28</v>
      </c>
      <c r="Q34" s="16">
        <v>9.1999999999999998E-2</v>
      </c>
    </row>
    <row r="35" spans="11:17" ht="14.25" x14ac:dyDescent="0.2">
      <c r="K35" s="6">
        <v>29</v>
      </c>
      <c r="L35">
        <f>VLOOKUP(K35,calc!$B$4:$U$53,Sheet3!$D$11+1,0)</f>
        <v>157</v>
      </c>
      <c r="M35" s="44">
        <f>VLOOKUP(K35,Sheet2!$A$3:$E$50,$D$11+1,0)</f>
        <v>8.4000000000000005E-2</v>
      </c>
      <c r="N35" s="46">
        <f>VLOOKUP(K35,Sheet2!$H$2:$L$50,Sheet3!$D$11+1,0)</f>
        <v>0.91449999999999998</v>
      </c>
      <c r="P35" s="6">
        <v>29</v>
      </c>
      <c r="Q35" s="16">
        <v>8.4000000000000005E-2</v>
      </c>
    </row>
    <row r="36" spans="11:17" ht="14.25" x14ac:dyDescent="0.2">
      <c r="K36" s="6">
        <v>30</v>
      </c>
      <c r="L36">
        <f>VLOOKUP(K36,calc!$B$4:$U$53,Sheet3!$D$11+1,0)</f>
        <v>109</v>
      </c>
      <c r="M36" s="44">
        <f>VLOOKUP(K36,Sheet2!$A$3:$E$50,$D$11+1,0)</f>
        <v>1.0999999999999999E-2</v>
      </c>
      <c r="N36" s="46">
        <f>VLOOKUP(K36,Sheet2!$H$2:$L$50,Sheet3!$D$11+1,0)</f>
        <v>0.90990000000000004</v>
      </c>
      <c r="P36" s="6">
        <v>30</v>
      </c>
      <c r="Q36" s="16">
        <v>1.0999999999999999E-2</v>
      </c>
    </row>
    <row r="37" spans="11:17" ht="14.25" x14ac:dyDescent="0.2">
      <c r="K37" s="6">
        <v>31</v>
      </c>
      <c r="L37">
        <f>VLOOKUP(K37,calc!$B$4:$U$53,Sheet3!$D$11+1,0)</f>
        <v>120</v>
      </c>
      <c r="M37" s="44">
        <f>VLOOKUP(K37,Sheet2!$A$3:$E$50,$D$11+1,0)</f>
        <v>4.2000000000000003E-2</v>
      </c>
      <c r="N37" s="46">
        <f>VLOOKUP(K37,Sheet2!$H$2:$L$50,Sheet3!$D$11+1,0)</f>
        <v>0.91269999999999996</v>
      </c>
      <c r="P37" s="6">
        <v>31</v>
      </c>
      <c r="Q37" s="16">
        <v>4.2000000000000003E-2</v>
      </c>
    </row>
    <row r="38" spans="11:17" ht="14.25" x14ac:dyDescent="0.2">
      <c r="K38" s="6">
        <v>32</v>
      </c>
      <c r="L38">
        <f>VLOOKUP(K38,calc!$B$4:$U$53,Sheet3!$D$11+1,0)</f>
        <v>130</v>
      </c>
      <c r="M38" s="44">
        <f>VLOOKUP(K38,Sheet2!$A$3:$E$50,$D$11+1,0)</f>
        <v>3.2000000000000001E-2</v>
      </c>
      <c r="N38" s="46">
        <f>VLOOKUP(K38,Sheet2!$H$2:$L$50,Sheet3!$D$11+1,0)</f>
        <v>0.91739999999999999</v>
      </c>
      <c r="P38" s="6">
        <v>32</v>
      </c>
      <c r="Q38" s="16">
        <v>3.2000000000000001E-2</v>
      </c>
    </row>
    <row r="39" spans="11:17" ht="14.25" x14ac:dyDescent="0.2">
      <c r="K39" s="6">
        <v>33</v>
      </c>
      <c r="L39">
        <f>VLOOKUP(K39,calc!$B$4:$U$53,Sheet3!$D$11+1,0)</f>
        <v>92</v>
      </c>
      <c r="M39" s="44">
        <f>VLOOKUP(K39,Sheet2!$A$3:$E$50,$D$11+1,0)</f>
        <v>2.7E-2</v>
      </c>
      <c r="N39" s="46">
        <f>VLOOKUP(K39,Sheet2!$H$2:$L$50,Sheet3!$D$11+1,0)</f>
        <v>0.91200000000000003</v>
      </c>
      <c r="P39" s="6">
        <v>33</v>
      </c>
      <c r="Q39" s="16">
        <v>2.7E-2</v>
      </c>
    </row>
    <row r="40" spans="11:17" ht="14.25" x14ac:dyDescent="0.2">
      <c r="K40" s="6">
        <v>34</v>
      </c>
      <c r="L40">
        <f>VLOOKUP(K40,calc!$B$4:$U$53,Sheet3!$D$11+1,0)</f>
        <v>116</v>
      </c>
      <c r="M40" s="44">
        <f>VLOOKUP(K40,Sheet2!$A$3:$E$50,$D$11+1,0)</f>
        <v>5.8000000000000003E-2</v>
      </c>
      <c r="N40" s="46">
        <f>VLOOKUP(K40,Sheet2!$H$2:$L$50,Sheet3!$D$11+1,0)</f>
        <v>0.91320000000000001</v>
      </c>
      <c r="P40" s="6">
        <v>34</v>
      </c>
      <c r="Q40" s="16">
        <v>5.8000000000000003E-2</v>
      </c>
    </row>
    <row r="41" spans="11:17" ht="14.25" x14ac:dyDescent="0.2">
      <c r="K41" s="6">
        <v>35</v>
      </c>
      <c r="L41">
        <f>VLOOKUP(K41,calc!$B$4:$U$53,Sheet3!$D$11+1,0)</f>
        <v>148</v>
      </c>
      <c r="M41" s="44">
        <f>VLOOKUP(K41,Sheet2!$A$3:$E$50,$D$11+1,0)</f>
        <v>3.1E-2</v>
      </c>
      <c r="N41" s="46">
        <f>VLOOKUP(K41,Sheet2!$H$2:$L$50,Sheet3!$D$11+1,0)</f>
        <v>0.91359999999999997</v>
      </c>
      <c r="P41" s="6">
        <v>35</v>
      </c>
      <c r="Q41" s="16">
        <v>3.1E-2</v>
      </c>
    </row>
    <row r="42" spans="11:17" ht="15" thickBot="1" x14ac:dyDescent="0.25">
      <c r="K42" s="15">
        <v>36</v>
      </c>
      <c r="L42">
        <f>VLOOKUP(K42,calc!$B$4:$U$53,Sheet3!$D$11+1,0)</f>
        <v>68</v>
      </c>
      <c r="M42" s="44">
        <f>VLOOKUP(K42,Sheet2!$A$3:$E$50,$D$11+1,0)</f>
        <v>6.7000000000000004E-2</v>
      </c>
      <c r="N42" s="46">
        <f>VLOOKUP(K42,Sheet2!$H$2:$L$50,Sheet3!$D$11+1,0)</f>
        <v>0.91320000000000001</v>
      </c>
      <c r="P42" s="15">
        <v>36</v>
      </c>
      <c r="Q42" s="16">
        <v>6.7000000000000004E-2</v>
      </c>
    </row>
    <row r="43" spans="11:17" ht="14.25" x14ac:dyDescent="0.2">
      <c r="K43" s="11">
        <v>37</v>
      </c>
      <c r="L43">
        <f>VLOOKUP(K43,calc!$B$4:$U$53,Sheet3!$D$11+1,0)</f>
        <v>158</v>
      </c>
      <c r="M43" s="44">
        <f>VLOOKUP(K43,Sheet2!$A$3:$E$50,$D$11+1,0)</f>
        <v>1.0999999999999999E-2</v>
      </c>
      <c r="N43" s="46">
        <f>VLOOKUP(K43,Sheet2!$H$2:$L$50,Sheet3!$D$11+1,0)</f>
        <v>0.91</v>
      </c>
      <c r="P43" s="11">
        <v>37</v>
      </c>
      <c r="Q43" s="16">
        <v>1.0999999999999999E-2</v>
      </c>
    </row>
    <row r="44" spans="11:17" ht="14.25" x14ac:dyDescent="0.2">
      <c r="K44" s="6">
        <v>38</v>
      </c>
      <c r="L44">
        <f>VLOOKUP(K44,calc!$B$4:$U$53,Sheet3!$D$11+1,0)</f>
        <v>140</v>
      </c>
      <c r="M44" s="44">
        <f>VLOOKUP(K44,Sheet2!$A$3:$E$50,$D$11+1,0)</f>
        <v>7.8E-2</v>
      </c>
      <c r="N44" s="46">
        <f>VLOOKUP(K44,Sheet2!$H$2:$L$50,Sheet3!$D$11+1,0)</f>
        <v>0.91410000000000002</v>
      </c>
      <c r="P44" s="6">
        <v>38</v>
      </c>
      <c r="Q44" s="16">
        <v>7.8E-2</v>
      </c>
    </row>
    <row r="45" spans="11:17" ht="14.25" x14ac:dyDescent="0.2">
      <c r="K45" s="6">
        <v>39</v>
      </c>
      <c r="L45">
        <f>VLOOKUP(K45,calc!$B$4:$U$53,Sheet3!$D$11+1,0)</f>
        <v>77</v>
      </c>
      <c r="M45" s="44">
        <f>VLOOKUP(K45,Sheet2!$A$3:$E$50,$D$11+1,0)</f>
        <v>4.2000000000000003E-2</v>
      </c>
      <c r="N45" s="46">
        <f>VLOOKUP(K45,Sheet2!$H$2:$L$50,Sheet3!$D$11+1,0)</f>
        <v>0.91239999999999999</v>
      </c>
      <c r="P45" s="6">
        <v>39</v>
      </c>
      <c r="Q45" s="16">
        <v>4.2000000000000003E-2</v>
      </c>
    </row>
    <row r="46" spans="11:17" ht="14.25" x14ac:dyDescent="0.2">
      <c r="K46" s="6">
        <v>40</v>
      </c>
      <c r="L46">
        <f>VLOOKUP(K46,calc!$B$4:$U$53,Sheet3!$D$11+1,0)</f>
        <v>165</v>
      </c>
      <c r="M46" s="44">
        <f>VLOOKUP(K46,Sheet2!$A$3:$E$50,$D$11+1,0)</f>
        <v>0</v>
      </c>
      <c r="N46" s="46">
        <f>VLOOKUP(K46,Sheet2!$H$2:$L$50,Sheet3!$D$11+1,0)</f>
        <v>0.90980000000000005</v>
      </c>
      <c r="P46" s="6">
        <v>40</v>
      </c>
      <c r="Q46" s="16">
        <v>0</v>
      </c>
    </row>
    <row r="47" spans="11:17" ht="14.25" x14ac:dyDescent="0.2">
      <c r="K47" s="6">
        <v>41</v>
      </c>
      <c r="L47">
        <f>VLOOKUP(K47,calc!$B$4:$U$53,Sheet3!$D$11+1,0)</f>
        <v>118</v>
      </c>
      <c r="M47" s="44">
        <f>VLOOKUP(K47,Sheet2!$A$3:$E$50,$D$11+1,0)</f>
        <v>2.5999999999999999E-2</v>
      </c>
      <c r="N47" s="46">
        <f>VLOOKUP(K47,Sheet2!$H$2:$L$50,Sheet3!$D$11+1,0)</f>
        <v>0.91320000000000001</v>
      </c>
      <c r="P47" s="6">
        <v>41</v>
      </c>
      <c r="Q47" s="16">
        <v>2.5999999999999999E-2</v>
      </c>
    </row>
    <row r="48" spans="11:17" ht="14.25" x14ac:dyDescent="0.2">
      <c r="K48" s="6">
        <v>42</v>
      </c>
      <c r="L48">
        <f>VLOOKUP(K48,calc!$B$4:$U$53,Sheet3!$D$11+1,0)</f>
        <v>167</v>
      </c>
      <c r="M48" s="44">
        <f>VLOOKUP(K48,Sheet2!$A$3:$E$50,$D$11+1,0)</f>
        <v>2.8000000000000001E-2</v>
      </c>
      <c r="N48" s="46">
        <f>VLOOKUP(K48,Sheet2!$H$2:$L$50,Sheet3!$D$11+1,0)</f>
        <v>0.91120000000000001</v>
      </c>
      <c r="P48" s="6">
        <v>42</v>
      </c>
      <c r="Q48" s="16">
        <v>2.8000000000000001E-2</v>
      </c>
    </row>
    <row r="49" spans="11:17" ht="14.25" x14ac:dyDescent="0.2">
      <c r="K49" s="6">
        <v>43</v>
      </c>
      <c r="L49">
        <f>VLOOKUP(K49,calc!$B$4:$U$53,Sheet3!$D$11+1,0)</f>
        <v>120</v>
      </c>
      <c r="M49" s="44">
        <f>VLOOKUP(K49,Sheet2!$A$3:$E$50,$D$11+1,0)</f>
        <v>6.5000000000000002E-2</v>
      </c>
      <c r="N49" s="46">
        <f>VLOOKUP(K49,Sheet2!$H$2:$L$50,Sheet3!$D$11+1,0)</f>
        <v>0.91590000000000005</v>
      </c>
      <c r="P49" s="6">
        <v>43</v>
      </c>
      <c r="Q49" s="16">
        <v>6.5000000000000002E-2</v>
      </c>
    </row>
    <row r="50" spans="11:17" ht="14.25" x14ac:dyDescent="0.2">
      <c r="K50" s="6">
        <v>44</v>
      </c>
      <c r="L50">
        <f>VLOOKUP(K50,calc!$B$4:$U$53,Sheet3!$D$11+1,0)</f>
        <v>123</v>
      </c>
      <c r="M50" s="44">
        <f>VLOOKUP(K50,Sheet2!$A$3:$E$50,$D$11+1,0)</f>
        <v>5.6000000000000001E-2</v>
      </c>
      <c r="N50" s="46">
        <f>VLOOKUP(K50,Sheet2!$H$2:$L$50,Sheet3!$D$11+1,0)</f>
        <v>0.91269999999999996</v>
      </c>
      <c r="P50" s="6">
        <v>44</v>
      </c>
      <c r="Q50" s="16">
        <v>5.6000000000000001E-2</v>
      </c>
    </row>
    <row r="51" spans="11:17" ht="14.25" x14ac:dyDescent="0.2">
      <c r="K51" s="6">
        <v>45</v>
      </c>
      <c r="L51">
        <f>VLOOKUP(K51,calc!$B$4:$U$53,Sheet3!$D$11+1,0)</f>
        <v>64</v>
      </c>
      <c r="M51" s="44">
        <f>VLOOKUP(K51,Sheet2!$A$3:$E$50,$D$11+1,0)</f>
        <v>8.9999999999999993E-3</v>
      </c>
      <c r="N51" s="46">
        <f>VLOOKUP(K51,Sheet2!$H$2:$L$50,Sheet3!$D$11+1,0)</f>
        <v>0.9173</v>
      </c>
      <c r="P51" s="6">
        <v>45</v>
      </c>
      <c r="Q51" s="16">
        <v>8.9999999999999993E-3</v>
      </c>
    </row>
    <row r="52" spans="11:17" ht="14.25" x14ac:dyDescent="0.2">
      <c r="K52" s="6">
        <v>46</v>
      </c>
      <c r="L52">
        <f>VLOOKUP(K52,calc!$B$4:$U$53,Sheet3!$D$11+1,0)</f>
        <v>124</v>
      </c>
      <c r="M52" s="44">
        <f>VLOOKUP(K52,Sheet2!$A$3:$E$50,$D$11+1,0)</f>
        <v>1E-3</v>
      </c>
      <c r="N52" s="46">
        <f>VLOOKUP(K52,Sheet2!$H$2:$L$50,Sheet3!$D$11+1,0)</f>
        <v>0.90910000000000002</v>
      </c>
      <c r="P52" s="6">
        <v>46</v>
      </c>
      <c r="Q52" s="16">
        <v>1E-3</v>
      </c>
    </row>
    <row r="53" spans="11:17" ht="14.25" x14ac:dyDescent="0.2">
      <c r="K53" s="6">
        <v>47</v>
      </c>
      <c r="L53">
        <f>VLOOKUP(K53,calc!$B$4:$U$53,Sheet3!$D$11+1,0)</f>
        <v>69</v>
      </c>
      <c r="M53" s="44">
        <f>VLOOKUP(K53,Sheet2!$A$3:$E$50,$D$11+1,0)</f>
        <v>1.2999999999999999E-2</v>
      </c>
      <c r="N53" s="46">
        <f>VLOOKUP(K53,Sheet2!$H$2:$L$50,Sheet3!$D$11+1,0)</f>
        <v>0.91720000000000002</v>
      </c>
      <c r="P53" s="6">
        <v>47</v>
      </c>
      <c r="Q53" s="16">
        <v>1.2999999999999999E-2</v>
      </c>
    </row>
    <row r="54" spans="11:17" ht="15" thickBot="1" x14ac:dyDescent="0.25">
      <c r="K54" s="15">
        <v>48</v>
      </c>
      <c r="L54">
        <f>VLOOKUP(K54,calc!$B$4:$U$53,Sheet3!$D$11+1,0)</f>
        <v>107</v>
      </c>
      <c r="M54" s="44">
        <f>VLOOKUP(K54,Sheet2!$A$3:$E$50,$D$11+1,0)</f>
        <v>6.6000000000000003E-2</v>
      </c>
      <c r="N54" s="46">
        <f>VLOOKUP(K54,Sheet2!$H$2:$L$50,Sheet3!$D$11+1,0)</f>
        <v>0.9113</v>
      </c>
      <c r="P54" s="15">
        <v>48</v>
      </c>
      <c r="Q54" s="16">
        <v>6.6000000000000003E-2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21412" r:id="rId4" name="List Box 4">
              <controlPr defaultSize="0" autoLine="0" autoPict="0">
                <anchor moveWithCells="1">
                  <from>
                    <xdr:col>4</xdr:col>
                    <xdr:colOff>504825</xdr:colOff>
                    <xdr:row>5</xdr:row>
                    <xdr:rowOff>142875</xdr:rowOff>
                  </from>
                  <to>
                    <xdr:col>6</xdr:col>
                    <xdr:colOff>9525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1414" r:id="rId5" name="Spinner 6">
              <controlPr defaultSize="0" autoPict="0">
                <anchor moveWithCells="1" sizeWithCells="1">
                  <from>
                    <xdr:col>1</xdr:col>
                    <xdr:colOff>57150</xdr:colOff>
                    <xdr:row>17</xdr:row>
                    <xdr:rowOff>171450</xdr:rowOff>
                  </from>
                  <to>
                    <xdr:col>1</xdr:col>
                    <xdr:colOff>200025</xdr:colOff>
                    <xdr:row>21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>
    <tabColor theme="0" tint="-4.9989318521683403E-2"/>
    <pageSetUpPr fitToPage="1"/>
  </sheetPr>
  <dimension ref="B1:AE59"/>
  <sheetViews>
    <sheetView showGridLines="0" zoomScaleNormal="100" zoomScaleSheetLayoutView="55" workbookViewId="0">
      <selection activeCell="H14" sqref="H14"/>
    </sheetView>
  </sheetViews>
  <sheetFormatPr defaultColWidth="12.7109375" defaultRowHeight="14.25" x14ac:dyDescent="0.25"/>
  <cols>
    <col min="1" max="1" width="2.7109375" style="7" customWidth="1"/>
    <col min="2" max="2" width="14.5703125" style="7" customWidth="1"/>
    <col min="3" max="3" width="15.7109375" style="7" customWidth="1"/>
    <col min="4" max="7" width="7" style="7" bestFit="1" customWidth="1"/>
    <col min="8" max="9" width="2.7109375" style="7" customWidth="1"/>
    <col min="10" max="10" width="2" style="7" customWidth="1"/>
    <col min="11" max="11" width="3" style="7" customWidth="1"/>
    <col min="12" max="15" width="6.5703125" style="7" customWidth="1"/>
    <col min="16" max="16" width="1.28515625" style="7" customWidth="1"/>
    <col min="17" max="17" width="1.85546875" style="7" customWidth="1"/>
    <col min="18" max="21" width="6.5703125" style="7" customWidth="1"/>
    <col min="22" max="22" width="4" style="7" customWidth="1"/>
    <col min="23" max="26" width="7.28515625" style="7" customWidth="1"/>
    <col min="27" max="16384" width="12.7109375" style="7"/>
  </cols>
  <sheetData>
    <row r="1" spans="2:31" s="1" customFormat="1" x14ac:dyDescent="0.2">
      <c r="I1" s="1">
        <v>3</v>
      </c>
    </row>
    <row r="2" spans="2:31" s="1" customFormat="1" ht="30" customHeight="1" x14ac:dyDescent="0.2">
      <c r="B2" s="27" t="s">
        <v>15</v>
      </c>
      <c r="C2" s="28"/>
      <c r="D2" s="28"/>
      <c r="E2" s="28"/>
      <c r="F2" s="28"/>
      <c r="G2" s="28"/>
      <c r="H2" s="2"/>
    </row>
    <row r="3" spans="2:31" s="1" customFormat="1" ht="12.75" customHeight="1" x14ac:dyDescent="0.2">
      <c r="B3" s="30"/>
      <c r="C3" s="30"/>
      <c r="D3" s="2"/>
      <c r="E3" s="2"/>
      <c r="F3" s="2"/>
      <c r="G3" s="2"/>
      <c r="H3" s="26"/>
      <c r="I3" s="26"/>
    </row>
    <row r="4" spans="2:31" s="1" customFormat="1" ht="12.75" customHeight="1" x14ac:dyDescent="0.2">
      <c r="B4" s="30" t="s">
        <v>2</v>
      </c>
      <c r="C4" s="31">
        <v>40</v>
      </c>
      <c r="D4" s="2"/>
      <c r="E4" s="2"/>
      <c r="F4" s="2"/>
      <c r="G4" s="2"/>
    </row>
    <row r="5" spans="2:31" s="1" customFormat="1" ht="12.75" customHeight="1" x14ac:dyDescent="0.2">
      <c r="B5" s="32"/>
      <c r="C5" s="32"/>
      <c r="D5" s="2"/>
      <c r="E5" s="2"/>
      <c r="F5" s="2"/>
      <c r="G5" s="2"/>
      <c r="H5" s="2"/>
    </row>
    <row r="6" spans="2:31" s="1" customFormat="1" ht="20.100000000000001" customHeight="1" x14ac:dyDescent="0.2">
      <c r="B6" s="3" t="s">
        <v>1</v>
      </c>
      <c r="C6" s="4"/>
      <c r="D6" s="4"/>
      <c r="E6" s="4"/>
      <c r="F6" s="4"/>
      <c r="G6" s="4"/>
      <c r="H6" s="4"/>
    </row>
    <row r="7" spans="2:31" s="1" customFormat="1" ht="15" thickBot="1" x14ac:dyDescent="0.25"/>
    <row r="8" spans="2:31" s="1" customFormat="1" ht="15" thickBot="1" x14ac:dyDescent="0.25">
      <c r="D8" s="81" t="s">
        <v>16</v>
      </c>
      <c r="E8" s="82"/>
      <c r="F8" s="82"/>
      <c r="G8" s="83"/>
      <c r="H8" s="25"/>
      <c r="I8" s="26"/>
      <c r="L8" s="78" t="s">
        <v>11</v>
      </c>
      <c r="M8" s="79"/>
      <c r="N8" s="79"/>
      <c r="O8" s="80"/>
      <c r="R8" s="78" t="s">
        <v>13</v>
      </c>
      <c r="S8" s="79"/>
      <c r="T8" s="79"/>
      <c r="U8" s="80"/>
      <c r="W8" s="78" t="s">
        <v>14</v>
      </c>
      <c r="X8" s="79"/>
      <c r="Y8" s="79"/>
      <c r="Z8" s="80"/>
    </row>
    <row r="9" spans="2:31" s="1" customFormat="1" x14ac:dyDescent="0.2">
      <c r="B9" s="5"/>
      <c r="C9" s="5" t="s">
        <v>0</v>
      </c>
      <c r="D9" s="8" t="s">
        <v>3</v>
      </c>
      <c r="E9" s="8" t="s">
        <v>4</v>
      </c>
      <c r="F9" s="8" t="s">
        <v>5</v>
      </c>
      <c r="G9" s="8" t="s">
        <v>6</v>
      </c>
      <c r="H9" s="2"/>
      <c r="L9" s="8" t="s">
        <v>3</v>
      </c>
      <c r="M9" s="8" t="s">
        <v>4</v>
      </c>
      <c r="N9" s="8" t="s">
        <v>5</v>
      </c>
      <c r="O9" s="8" t="s">
        <v>6</v>
      </c>
      <c r="P9" s="18"/>
      <c r="R9" s="20" t="s">
        <v>3</v>
      </c>
      <c r="S9" s="20" t="s">
        <v>4</v>
      </c>
      <c r="T9" s="20" t="s">
        <v>5</v>
      </c>
      <c r="U9" s="20" t="s">
        <v>6</v>
      </c>
      <c r="V9" s="18"/>
      <c r="W9" s="20" t="s">
        <v>3</v>
      </c>
      <c r="X9" s="20" t="s">
        <v>4</v>
      </c>
      <c r="Y9" s="20" t="s">
        <v>5</v>
      </c>
      <c r="Z9" s="20" t="s">
        <v>6</v>
      </c>
    </row>
    <row r="10" spans="2:31" s="1" customFormat="1" ht="15" thickBot="1" x14ac:dyDescent="0.25">
      <c r="R10" s="19"/>
      <c r="S10" s="19"/>
      <c r="T10" s="19"/>
      <c r="U10" s="19"/>
      <c r="W10" s="17"/>
      <c r="X10" s="16"/>
      <c r="Y10" s="16"/>
      <c r="Z10" s="16"/>
    </row>
    <row r="11" spans="2:31" s="1" customFormat="1" ht="15" thickBot="1" x14ac:dyDescent="0.25">
      <c r="B11" s="10"/>
      <c r="C11" s="11">
        <v>1</v>
      </c>
      <c r="D11" s="12">
        <v>118</v>
      </c>
      <c r="E11" s="12">
        <v>69</v>
      </c>
      <c r="F11" s="12">
        <v>145</v>
      </c>
      <c r="G11" s="12">
        <v>84</v>
      </c>
      <c r="H11" s="2"/>
      <c r="J11" s="9"/>
      <c r="L11" s="9">
        <f>+D11</f>
        <v>118</v>
      </c>
      <c r="M11" s="9">
        <f>+E11</f>
        <v>69</v>
      </c>
      <c r="N11" s="9">
        <f>+F11</f>
        <v>145</v>
      </c>
      <c r="O11" s="9">
        <f>+G11</f>
        <v>84</v>
      </c>
      <c r="P11" s="9"/>
      <c r="R11" s="16">
        <v>8.0000000000000002E-3</v>
      </c>
      <c r="S11" s="16">
        <v>6.7000000000000004E-2</v>
      </c>
      <c r="T11" s="16">
        <v>0.01</v>
      </c>
      <c r="U11" s="16">
        <v>2E-3</v>
      </c>
      <c r="W11" s="24">
        <v>0.91149999999999998</v>
      </c>
      <c r="X11" s="24">
        <v>0.91100000000000003</v>
      </c>
      <c r="Y11" s="24">
        <v>0.91549999999999998</v>
      </c>
      <c r="Z11" s="24">
        <v>0.91559999999999997</v>
      </c>
      <c r="AB11" s="24"/>
      <c r="AC11" s="24"/>
      <c r="AD11" s="24"/>
      <c r="AE11" s="24"/>
    </row>
    <row r="12" spans="2:31" s="1" customFormat="1" ht="15" thickBot="1" x14ac:dyDescent="0.25">
      <c r="B12" s="13"/>
      <c r="C12" s="6">
        <v>2</v>
      </c>
      <c r="D12" s="12">
        <v>129</v>
      </c>
      <c r="E12" s="12">
        <v>126</v>
      </c>
      <c r="F12" s="12">
        <v>165</v>
      </c>
      <c r="G12" s="12">
        <v>124</v>
      </c>
      <c r="H12" s="2"/>
      <c r="J12" s="9"/>
      <c r="L12" s="9">
        <f>+D11+D12</f>
        <v>247</v>
      </c>
      <c r="M12" s="9">
        <f>+E11+E12</f>
        <v>195</v>
      </c>
      <c r="N12" s="9">
        <f>+F11+F12</f>
        <v>310</v>
      </c>
      <c r="O12" s="9">
        <f>+G11+G12</f>
        <v>208</v>
      </c>
      <c r="P12" s="9"/>
      <c r="R12" s="16">
        <v>9.1999999999999998E-2</v>
      </c>
      <c r="S12" s="16">
        <v>7.2999999999999995E-2</v>
      </c>
      <c r="T12" s="16">
        <v>0.02</v>
      </c>
      <c r="U12" s="16">
        <v>5.8000000000000003E-2</v>
      </c>
      <c r="W12" s="24">
        <v>0.91439999999999999</v>
      </c>
      <c r="X12" s="24">
        <v>0.91610000000000003</v>
      </c>
      <c r="Y12" s="24">
        <v>0.9173</v>
      </c>
      <c r="Z12" s="24">
        <v>0.91049999999999998</v>
      </c>
      <c r="AB12" s="24"/>
      <c r="AC12" s="24"/>
      <c r="AD12" s="24"/>
      <c r="AE12" s="24"/>
    </row>
    <row r="13" spans="2:31" s="1" customFormat="1" ht="15" thickBot="1" x14ac:dyDescent="0.25">
      <c r="B13" s="13"/>
      <c r="C13" s="6">
        <v>3</v>
      </c>
      <c r="D13" s="12">
        <v>167</v>
      </c>
      <c r="E13" s="12">
        <v>116</v>
      </c>
      <c r="F13" s="12">
        <v>103</v>
      </c>
      <c r="G13" s="12">
        <v>97</v>
      </c>
      <c r="H13" s="2"/>
      <c r="J13" s="9"/>
      <c r="L13" s="9">
        <f>+L12+D13</f>
        <v>414</v>
      </c>
      <c r="M13" s="9">
        <f>+M12+E13</f>
        <v>311</v>
      </c>
      <c r="N13" s="9">
        <f>+N12+F13</f>
        <v>413</v>
      </c>
      <c r="O13" s="9">
        <f>+O12+G13</f>
        <v>305</v>
      </c>
      <c r="P13" s="9"/>
      <c r="R13" s="16">
        <v>1.7999999999999999E-2</v>
      </c>
      <c r="S13" s="16">
        <v>7.0000000000000001E-3</v>
      </c>
      <c r="T13" s="16">
        <v>1.2999999999999999E-2</v>
      </c>
      <c r="U13" s="16">
        <v>2.5999999999999999E-2</v>
      </c>
      <c r="W13" s="24">
        <v>0.9093</v>
      </c>
      <c r="X13" s="24">
        <v>0.91879999999999995</v>
      </c>
      <c r="Y13" s="24">
        <v>0.91759999999999997</v>
      </c>
      <c r="Z13" s="24">
        <v>0.93</v>
      </c>
      <c r="AB13" s="24"/>
      <c r="AC13" s="24"/>
      <c r="AD13" s="24"/>
      <c r="AE13" s="24"/>
    </row>
    <row r="14" spans="2:31" s="1" customFormat="1" ht="15" thickBot="1" x14ac:dyDescent="0.25">
      <c r="B14" s="13"/>
      <c r="C14" s="6">
        <v>4</v>
      </c>
      <c r="D14" s="12">
        <v>130</v>
      </c>
      <c r="E14" s="12">
        <v>131</v>
      </c>
      <c r="F14" s="12">
        <v>151</v>
      </c>
      <c r="G14" s="12">
        <v>106</v>
      </c>
      <c r="H14" s="2"/>
      <c r="J14" s="9"/>
      <c r="L14" s="9">
        <f t="shared" ref="L14:L58" si="0">+L13+D14</f>
        <v>544</v>
      </c>
      <c r="M14" s="9">
        <f t="shared" ref="M14:O58" si="1">+M13+E14</f>
        <v>442</v>
      </c>
      <c r="N14" s="9">
        <f t="shared" si="1"/>
        <v>564</v>
      </c>
      <c r="O14" s="9">
        <f t="shared" si="1"/>
        <v>411</v>
      </c>
      <c r="P14" s="9"/>
      <c r="R14" s="16">
        <v>3.4000000000000002E-2</v>
      </c>
      <c r="S14" s="16">
        <v>3.6999999999999998E-2</v>
      </c>
      <c r="T14" s="16">
        <v>4.5999999999999999E-2</v>
      </c>
      <c r="U14" s="16">
        <v>9.1999999999999998E-2</v>
      </c>
      <c r="W14" s="24">
        <v>0.9093</v>
      </c>
      <c r="X14" s="24">
        <v>0.91710000000000003</v>
      </c>
      <c r="Y14" s="24">
        <v>0.91759999999999997</v>
      </c>
      <c r="Z14" s="24">
        <v>0.91049999999999998</v>
      </c>
      <c r="AB14" s="24"/>
      <c r="AC14" s="24"/>
      <c r="AD14" s="24"/>
      <c r="AE14" s="24"/>
    </row>
    <row r="15" spans="2:31" s="1" customFormat="1" ht="15" thickBot="1" x14ac:dyDescent="0.25">
      <c r="B15" s="13"/>
      <c r="C15" s="6">
        <v>5</v>
      </c>
      <c r="D15" s="12">
        <v>145</v>
      </c>
      <c r="E15" s="12">
        <v>118</v>
      </c>
      <c r="F15" s="12">
        <v>71</v>
      </c>
      <c r="G15" s="12">
        <v>88</v>
      </c>
      <c r="H15" s="2"/>
      <c r="J15" s="9"/>
      <c r="L15" s="9">
        <f t="shared" si="0"/>
        <v>689</v>
      </c>
      <c r="M15" s="9">
        <f t="shared" si="1"/>
        <v>560</v>
      </c>
      <c r="N15" s="9">
        <f t="shared" si="1"/>
        <v>635</v>
      </c>
      <c r="O15" s="9">
        <f t="shared" si="1"/>
        <v>499</v>
      </c>
      <c r="P15" s="9"/>
      <c r="R15" s="16">
        <v>2.5999999999999999E-2</v>
      </c>
      <c r="S15" s="16">
        <v>7.0999999999999994E-2</v>
      </c>
      <c r="T15" s="16">
        <v>1.7000000000000001E-2</v>
      </c>
      <c r="U15" s="16">
        <v>2.4E-2</v>
      </c>
      <c r="W15" s="24">
        <v>0.91810000000000003</v>
      </c>
      <c r="X15" s="24">
        <v>0.91069999999999995</v>
      </c>
      <c r="Y15" s="24">
        <v>0.91500000000000004</v>
      </c>
      <c r="Z15" s="24">
        <v>0.91869999999999996</v>
      </c>
      <c r="AB15" s="24"/>
      <c r="AC15" s="24"/>
      <c r="AD15" s="24"/>
      <c r="AE15" s="24"/>
    </row>
    <row r="16" spans="2:31" s="1" customFormat="1" ht="15" thickBot="1" x14ac:dyDescent="0.25">
      <c r="B16" s="13"/>
      <c r="C16" s="6">
        <v>6</v>
      </c>
      <c r="D16" s="12">
        <v>107</v>
      </c>
      <c r="E16" s="12">
        <v>97</v>
      </c>
      <c r="F16" s="12">
        <v>163</v>
      </c>
      <c r="G16" s="12">
        <v>161</v>
      </c>
      <c r="H16" s="2"/>
      <c r="J16" s="9"/>
      <c r="L16" s="9">
        <f t="shared" si="0"/>
        <v>796</v>
      </c>
      <c r="M16" s="9">
        <f t="shared" si="1"/>
        <v>657</v>
      </c>
      <c r="N16" s="9">
        <f t="shared" si="1"/>
        <v>798</v>
      </c>
      <c r="O16" s="9">
        <f t="shared" si="1"/>
        <v>660</v>
      </c>
      <c r="P16" s="9"/>
      <c r="R16" s="16">
        <v>2.1000000000000001E-2</v>
      </c>
      <c r="S16" s="16">
        <v>2.5000000000000001E-2</v>
      </c>
      <c r="T16" s="16">
        <v>8.1000000000000003E-2</v>
      </c>
      <c r="U16" s="16">
        <v>3.7999999999999999E-2</v>
      </c>
      <c r="W16" s="24">
        <v>0.9103</v>
      </c>
      <c r="X16" s="24">
        <v>0.91180000000000005</v>
      </c>
      <c r="Y16" s="24">
        <v>0.90990000000000004</v>
      </c>
      <c r="Z16" s="24">
        <v>0.91510000000000002</v>
      </c>
      <c r="AB16" s="24"/>
      <c r="AC16" s="24"/>
      <c r="AD16" s="24"/>
      <c r="AE16" s="24"/>
    </row>
    <row r="17" spans="2:31" s="1" customFormat="1" ht="15" thickBot="1" x14ac:dyDescent="0.25">
      <c r="B17" s="13"/>
      <c r="C17" s="6">
        <v>7</v>
      </c>
      <c r="D17" s="12">
        <v>69</v>
      </c>
      <c r="E17" s="12">
        <v>88</v>
      </c>
      <c r="F17" s="12">
        <v>168</v>
      </c>
      <c r="G17" s="12">
        <v>85</v>
      </c>
      <c r="H17" s="2"/>
      <c r="J17" s="9"/>
      <c r="L17" s="9">
        <f t="shared" si="0"/>
        <v>865</v>
      </c>
      <c r="M17" s="9">
        <f t="shared" si="1"/>
        <v>745</v>
      </c>
      <c r="N17" s="9">
        <f t="shared" si="1"/>
        <v>966</v>
      </c>
      <c r="O17" s="9">
        <f t="shared" si="1"/>
        <v>745</v>
      </c>
      <c r="P17" s="9"/>
      <c r="R17" s="16">
        <v>7.3999999999999996E-2</v>
      </c>
      <c r="S17" s="16">
        <v>5.0000000000000001E-3</v>
      </c>
      <c r="T17" s="16">
        <v>4.7E-2</v>
      </c>
      <c r="U17" s="16">
        <v>3.9E-2</v>
      </c>
      <c r="W17" s="24">
        <v>0.90959999999999996</v>
      </c>
      <c r="X17" s="24">
        <v>0.91669999999999996</v>
      </c>
      <c r="Y17" s="24">
        <v>0.91720000000000002</v>
      </c>
      <c r="Z17" s="24">
        <v>0.91720000000000002</v>
      </c>
      <c r="AB17" s="24"/>
      <c r="AC17" s="24"/>
      <c r="AD17" s="24"/>
      <c r="AE17" s="24"/>
    </row>
    <row r="18" spans="2:31" s="1" customFormat="1" ht="15" thickBot="1" x14ac:dyDescent="0.25">
      <c r="B18" s="13"/>
      <c r="C18" s="6">
        <v>8</v>
      </c>
      <c r="D18" s="12">
        <v>163</v>
      </c>
      <c r="E18" s="12">
        <v>147</v>
      </c>
      <c r="F18" s="12">
        <v>109</v>
      </c>
      <c r="G18" s="12">
        <v>94</v>
      </c>
      <c r="H18" s="2"/>
      <c r="J18" s="9"/>
      <c r="L18" s="9">
        <f t="shared" si="0"/>
        <v>1028</v>
      </c>
      <c r="M18" s="9">
        <f t="shared" si="1"/>
        <v>892</v>
      </c>
      <c r="N18" s="9">
        <f t="shared" si="1"/>
        <v>1075</v>
      </c>
      <c r="O18" s="9">
        <f t="shared" si="1"/>
        <v>839</v>
      </c>
      <c r="P18" s="9"/>
      <c r="R18" s="16">
        <v>5.1999999999999998E-2</v>
      </c>
      <c r="S18" s="16">
        <v>1.2E-2</v>
      </c>
      <c r="T18" s="16">
        <v>0.05</v>
      </c>
      <c r="U18" s="16">
        <v>7.0999999999999994E-2</v>
      </c>
      <c r="W18" s="24">
        <v>0.9123</v>
      </c>
      <c r="X18" s="24">
        <v>0.91839999999999999</v>
      </c>
      <c r="Y18" s="24">
        <v>0.91279999999999994</v>
      </c>
      <c r="Z18" s="24">
        <v>0.91259999999999997</v>
      </c>
      <c r="AB18" s="24"/>
      <c r="AC18" s="24"/>
      <c r="AD18" s="24"/>
      <c r="AE18" s="24"/>
    </row>
    <row r="19" spans="2:31" s="1" customFormat="1" ht="15" thickBot="1" x14ac:dyDescent="0.25">
      <c r="B19" s="13"/>
      <c r="C19" s="6">
        <v>9</v>
      </c>
      <c r="D19" s="12">
        <v>86</v>
      </c>
      <c r="E19" s="12">
        <v>66</v>
      </c>
      <c r="F19" s="12">
        <v>78</v>
      </c>
      <c r="G19" s="12">
        <v>117</v>
      </c>
      <c r="H19" s="2"/>
      <c r="J19" s="9"/>
      <c r="L19" s="9">
        <f t="shared" si="0"/>
        <v>1114</v>
      </c>
      <c r="M19" s="9">
        <f t="shared" si="1"/>
        <v>958</v>
      </c>
      <c r="N19" s="9">
        <f t="shared" si="1"/>
        <v>1153</v>
      </c>
      <c r="O19" s="9">
        <f t="shared" si="1"/>
        <v>956</v>
      </c>
      <c r="P19" s="9"/>
      <c r="R19" s="16">
        <v>3.7999999999999999E-2</v>
      </c>
      <c r="S19" s="16">
        <v>3.3000000000000002E-2</v>
      </c>
      <c r="T19" s="16">
        <v>4.7E-2</v>
      </c>
      <c r="U19" s="16">
        <v>1.4E-2</v>
      </c>
      <c r="W19" s="24">
        <v>0.9143</v>
      </c>
      <c r="X19" s="24">
        <v>0.91249999999999998</v>
      </c>
      <c r="Y19" s="24">
        <v>0.91710000000000003</v>
      </c>
      <c r="Z19" s="24">
        <v>0.91210000000000002</v>
      </c>
      <c r="AB19" s="24"/>
      <c r="AC19" s="24"/>
      <c r="AD19" s="24"/>
      <c r="AE19" s="24"/>
    </row>
    <row r="20" spans="2:31" s="1" customFormat="1" ht="15" thickBot="1" x14ac:dyDescent="0.25">
      <c r="B20" s="13"/>
      <c r="C20" s="6">
        <v>10</v>
      </c>
      <c r="D20" s="12">
        <v>115</v>
      </c>
      <c r="E20" s="12">
        <v>69</v>
      </c>
      <c r="F20" s="12">
        <v>151</v>
      </c>
      <c r="G20" s="12">
        <v>140</v>
      </c>
      <c r="H20" s="2"/>
      <c r="J20" s="9"/>
      <c r="L20" s="9">
        <f t="shared" si="0"/>
        <v>1229</v>
      </c>
      <c r="M20" s="9">
        <f t="shared" si="1"/>
        <v>1027</v>
      </c>
      <c r="N20" s="9">
        <f t="shared" si="1"/>
        <v>1304</v>
      </c>
      <c r="O20" s="9">
        <f t="shared" si="1"/>
        <v>1096</v>
      </c>
      <c r="P20" s="9"/>
      <c r="R20" s="16">
        <v>7.2999999999999995E-2</v>
      </c>
      <c r="S20" s="16">
        <v>6.7000000000000004E-2</v>
      </c>
      <c r="T20" s="16">
        <v>6.3E-2</v>
      </c>
      <c r="U20" s="16">
        <v>1.7999999999999999E-2</v>
      </c>
      <c r="W20" s="24">
        <v>0.91290000000000004</v>
      </c>
      <c r="X20" s="24">
        <v>0.91759999999999997</v>
      </c>
      <c r="Y20" s="24">
        <v>0.91910000000000003</v>
      </c>
      <c r="Z20" s="24">
        <v>0.92</v>
      </c>
      <c r="AB20" s="24"/>
      <c r="AC20" s="24"/>
      <c r="AD20" s="24"/>
      <c r="AE20" s="24"/>
    </row>
    <row r="21" spans="2:31" s="1" customFormat="1" ht="15" thickBot="1" x14ac:dyDescent="0.25">
      <c r="B21" s="13"/>
      <c r="C21" s="6">
        <v>11</v>
      </c>
      <c r="D21" s="12">
        <v>124</v>
      </c>
      <c r="E21" s="12">
        <v>149</v>
      </c>
      <c r="F21" s="12">
        <v>121</v>
      </c>
      <c r="G21" s="12">
        <v>142</v>
      </c>
      <c r="H21" s="2"/>
      <c r="J21" s="9"/>
      <c r="L21" s="9">
        <f t="shared" si="0"/>
        <v>1353</v>
      </c>
      <c r="M21" s="9">
        <f t="shared" si="1"/>
        <v>1176</v>
      </c>
      <c r="N21" s="9">
        <f t="shared" si="1"/>
        <v>1425</v>
      </c>
      <c r="O21" s="9">
        <f t="shared" si="1"/>
        <v>1238</v>
      </c>
      <c r="P21" s="9"/>
      <c r="R21" s="16">
        <v>6.4000000000000001E-2</v>
      </c>
      <c r="S21" s="16">
        <v>6.6000000000000003E-2</v>
      </c>
      <c r="T21" s="16">
        <v>8.1000000000000003E-2</v>
      </c>
      <c r="U21" s="16">
        <v>7.0000000000000007E-2</v>
      </c>
      <c r="W21" s="24">
        <v>0.91220000000000001</v>
      </c>
      <c r="X21" s="24">
        <v>0.91749999999999998</v>
      </c>
      <c r="Y21" s="24">
        <v>0.91600000000000004</v>
      </c>
      <c r="Z21" s="24">
        <v>0.91749999999999998</v>
      </c>
      <c r="AB21" s="24"/>
      <c r="AC21" s="24"/>
      <c r="AD21" s="24"/>
      <c r="AE21" s="24"/>
    </row>
    <row r="22" spans="2:31" s="1" customFormat="1" ht="15" thickBot="1" x14ac:dyDescent="0.25">
      <c r="B22" s="14"/>
      <c r="C22" s="15">
        <v>12</v>
      </c>
      <c r="D22" s="12">
        <v>144</v>
      </c>
      <c r="E22" s="12">
        <v>80</v>
      </c>
      <c r="F22" s="12">
        <v>101</v>
      </c>
      <c r="G22" s="12">
        <v>138</v>
      </c>
      <c r="H22" s="2"/>
      <c r="J22" s="9"/>
      <c r="L22" s="9">
        <f t="shared" si="0"/>
        <v>1497</v>
      </c>
      <c r="M22" s="9">
        <f t="shared" si="1"/>
        <v>1256</v>
      </c>
      <c r="N22" s="9">
        <f t="shared" si="1"/>
        <v>1526</v>
      </c>
      <c r="O22" s="9">
        <f t="shared" si="1"/>
        <v>1376</v>
      </c>
      <c r="P22" s="9"/>
      <c r="R22" s="16">
        <v>3.1E-2</v>
      </c>
      <c r="S22" s="16">
        <v>9.2999999999999999E-2</v>
      </c>
      <c r="T22" s="16">
        <v>6.3E-2</v>
      </c>
      <c r="U22" s="16">
        <v>5.3999999999999999E-2</v>
      </c>
      <c r="W22" s="24">
        <v>0.9163</v>
      </c>
      <c r="X22" s="24">
        <v>0.91139999999999999</v>
      </c>
      <c r="Y22" s="24">
        <v>0.91310000000000002</v>
      </c>
      <c r="Z22" s="24">
        <v>0.91439999999999999</v>
      </c>
      <c r="AB22" s="24"/>
      <c r="AC22" s="24"/>
      <c r="AD22" s="24"/>
      <c r="AE22" s="24"/>
    </row>
    <row r="23" spans="2:31" s="1" customFormat="1" ht="15" thickBot="1" x14ac:dyDescent="0.25">
      <c r="B23" s="10"/>
      <c r="C23" s="11">
        <v>13</v>
      </c>
      <c r="D23" s="12">
        <v>110</v>
      </c>
      <c r="E23" s="12">
        <v>69</v>
      </c>
      <c r="F23" s="12">
        <v>112</v>
      </c>
      <c r="G23" s="12">
        <v>163</v>
      </c>
      <c r="H23" s="2"/>
      <c r="J23" s="9"/>
      <c r="L23" s="9">
        <f t="shared" si="0"/>
        <v>1607</v>
      </c>
      <c r="M23" s="9">
        <f t="shared" si="1"/>
        <v>1325</v>
      </c>
      <c r="N23" s="9">
        <f t="shared" si="1"/>
        <v>1638</v>
      </c>
      <c r="O23" s="9">
        <f t="shared" si="1"/>
        <v>1539</v>
      </c>
      <c r="P23" s="9"/>
      <c r="R23" s="16">
        <v>0.08</v>
      </c>
      <c r="S23" s="16">
        <v>0.09</v>
      </c>
      <c r="T23" s="16">
        <v>2.3E-2</v>
      </c>
      <c r="U23" s="16">
        <v>6.0999999999999999E-2</v>
      </c>
      <c r="W23" s="24">
        <v>0.9123</v>
      </c>
      <c r="X23" s="24">
        <v>0.91500000000000004</v>
      </c>
      <c r="Y23" s="24">
        <v>0.91749999999999998</v>
      </c>
      <c r="Z23" s="24">
        <v>0.94</v>
      </c>
      <c r="AB23" s="24"/>
      <c r="AC23" s="24"/>
      <c r="AD23" s="24"/>
      <c r="AE23" s="24"/>
    </row>
    <row r="24" spans="2:31" s="1" customFormat="1" ht="15" thickBot="1" x14ac:dyDescent="0.25">
      <c r="B24" s="13"/>
      <c r="C24" s="6">
        <v>14</v>
      </c>
      <c r="D24" s="12">
        <v>141</v>
      </c>
      <c r="E24" s="12">
        <v>83</v>
      </c>
      <c r="F24" s="12">
        <v>169</v>
      </c>
      <c r="G24" s="12">
        <v>166</v>
      </c>
      <c r="H24" s="2"/>
      <c r="J24" s="9"/>
      <c r="L24" s="9">
        <f t="shared" si="0"/>
        <v>1748</v>
      </c>
      <c r="M24" s="9">
        <f t="shared" si="1"/>
        <v>1408</v>
      </c>
      <c r="N24" s="9">
        <f t="shared" si="1"/>
        <v>1807</v>
      </c>
      <c r="O24" s="9">
        <f t="shared" si="1"/>
        <v>1705</v>
      </c>
      <c r="P24" s="9"/>
      <c r="R24" s="16">
        <v>7.3999999999999996E-2</v>
      </c>
      <c r="S24" s="16">
        <v>6.7000000000000004E-2</v>
      </c>
      <c r="T24" s="16">
        <v>2.3E-2</v>
      </c>
      <c r="U24" s="16">
        <v>2.9000000000000001E-2</v>
      </c>
      <c r="W24" s="24">
        <v>0.91090000000000004</v>
      </c>
      <c r="X24" s="24">
        <v>0.91900000000000004</v>
      </c>
      <c r="Y24" s="24">
        <v>0.90939999999999999</v>
      </c>
      <c r="Z24" s="24">
        <v>0.91369999999999996</v>
      </c>
      <c r="AB24" s="24"/>
      <c r="AC24" s="24"/>
      <c r="AD24" s="24"/>
      <c r="AE24" s="24"/>
    </row>
    <row r="25" spans="2:31" s="1" customFormat="1" ht="15" thickBot="1" x14ac:dyDescent="0.25">
      <c r="B25" s="13"/>
      <c r="C25" s="6">
        <v>15</v>
      </c>
      <c r="D25" s="12">
        <v>91</v>
      </c>
      <c r="E25" s="12">
        <v>96</v>
      </c>
      <c r="F25" s="12">
        <v>109</v>
      </c>
      <c r="G25" s="12">
        <v>112</v>
      </c>
      <c r="H25" s="2"/>
      <c r="J25" s="9"/>
      <c r="L25" s="9">
        <f t="shared" si="0"/>
        <v>1839</v>
      </c>
      <c r="M25" s="9">
        <f t="shared" si="1"/>
        <v>1504</v>
      </c>
      <c r="N25" s="9">
        <f t="shared" si="1"/>
        <v>1916</v>
      </c>
      <c r="O25" s="9">
        <f t="shared" si="1"/>
        <v>1817</v>
      </c>
      <c r="P25" s="9"/>
      <c r="R25" s="16">
        <v>3.0000000000000001E-3</v>
      </c>
      <c r="S25" s="16">
        <v>9.8000000000000004E-2</v>
      </c>
      <c r="T25" s="16">
        <v>5.0000000000000001E-3</v>
      </c>
      <c r="U25" s="16">
        <v>8.0000000000000002E-3</v>
      </c>
      <c r="W25" s="24">
        <v>0.91359999999999997</v>
      </c>
      <c r="X25" s="24">
        <v>0.91649999999999998</v>
      </c>
      <c r="Y25" s="24">
        <v>0.91859999999999997</v>
      </c>
      <c r="Z25" s="24">
        <v>0.91400000000000003</v>
      </c>
      <c r="AB25" s="24"/>
      <c r="AC25" s="24"/>
      <c r="AD25" s="24"/>
      <c r="AE25" s="24"/>
    </row>
    <row r="26" spans="2:31" s="1" customFormat="1" ht="15" thickBot="1" x14ac:dyDescent="0.25">
      <c r="B26" s="13"/>
      <c r="C26" s="6">
        <v>16</v>
      </c>
      <c r="D26" s="12">
        <v>83</v>
      </c>
      <c r="E26" s="12">
        <v>98</v>
      </c>
      <c r="F26" s="12">
        <v>82</v>
      </c>
      <c r="G26" s="12">
        <v>80</v>
      </c>
      <c r="H26" s="2"/>
      <c r="J26" s="9"/>
      <c r="L26" s="9">
        <f t="shared" si="0"/>
        <v>1922</v>
      </c>
      <c r="M26" s="9">
        <f t="shared" si="1"/>
        <v>1602</v>
      </c>
      <c r="N26" s="9">
        <f t="shared" si="1"/>
        <v>1998</v>
      </c>
      <c r="O26" s="9">
        <f t="shared" si="1"/>
        <v>1897</v>
      </c>
      <c r="P26" s="9"/>
      <c r="R26" s="16">
        <v>1.4E-2</v>
      </c>
      <c r="S26" s="16">
        <v>8.2000000000000003E-2</v>
      </c>
      <c r="T26" s="16">
        <v>0.09</v>
      </c>
      <c r="U26" s="16">
        <v>4.9000000000000002E-2</v>
      </c>
      <c r="W26" s="24">
        <v>0.91220000000000001</v>
      </c>
      <c r="X26" s="24">
        <v>0.91249999999999998</v>
      </c>
      <c r="Y26" s="24">
        <v>0.91059999999999997</v>
      </c>
      <c r="Z26" s="24">
        <v>0.90920000000000001</v>
      </c>
      <c r="AB26" s="24"/>
      <c r="AC26" s="24"/>
      <c r="AD26" s="24"/>
      <c r="AE26" s="24"/>
    </row>
    <row r="27" spans="2:31" s="1" customFormat="1" ht="15" thickBot="1" x14ac:dyDescent="0.25">
      <c r="B27" s="13"/>
      <c r="C27" s="6">
        <v>17</v>
      </c>
      <c r="D27" s="12">
        <v>91</v>
      </c>
      <c r="E27" s="12">
        <v>94</v>
      </c>
      <c r="F27" s="12">
        <v>119</v>
      </c>
      <c r="G27" s="12">
        <v>68</v>
      </c>
      <c r="H27" s="2"/>
      <c r="J27" s="9"/>
      <c r="L27" s="9">
        <f t="shared" si="0"/>
        <v>2013</v>
      </c>
      <c r="M27" s="9">
        <f t="shared" si="1"/>
        <v>1696</v>
      </c>
      <c r="N27" s="9">
        <f t="shared" si="1"/>
        <v>2117</v>
      </c>
      <c r="O27" s="9">
        <f t="shared" si="1"/>
        <v>1965</v>
      </c>
      <c r="P27" s="9"/>
      <c r="R27" s="16">
        <v>3.3000000000000002E-2</v>
      </c>
      <c r="S27" s="16">
        <v>8.7999999999999995E-2</v>
      </c>
      <c r="T27" s="16">
        <v>0.05</v>
      </c>
      <c r="U27" s="16">
        <v>8.2000000000000003E-2</v>
      </c>
      <c r="W27" s="24">
        <v>0.91539999999999999</v>
      </c>
      <c r="X27" s="24">
        <v>0.91159999999999997</v>
      </c>
      <c r="Y27" s="24">
        <v>0.91049999999999998</v>
      </c>
      <c r="Z27" s="24">
        <v>0.91610000000000003</v>
      </c>
      <c r="AB27" s="24"/>
      <c r="AC27" s="24"/>
      <c r="AD27" s="24"/>
      <c r="AE27" s="24"/>
    </row>
    <row r="28" spans="2:31" s="1" customFormat="1" ht="15" thickBot="1" x14ac:dyDescent="0.25">
      <c r="B28" s="13"/>
      <c r="C28" s="6">
        <v>18</v>
      </c>
      <c r="D28" s="12">
        <v>125</v>
      </c>
      <c r="E28" s="12">
        <v>169</v>
      </c>
      <c r="F28" s="12">
        <v>155</v>
      </c>
      <c r="G28" s="12">
        <v>156</v>
      </c>
      <c r="H28" s="2"/>
      <c r="J28" s="9"/>
      <c r="L28" s="9">
        <f t="shared" si="0"/>
        <v>2138</v>
      </c>
      <c r="M28" s="9">
        <f t="shared" si="1"/>
        <v>1865</v>
      </c>
      <c r="N28" s="9">
        <f t="shared" si="1"/>
        <v>2272</v>
      </c>
      <c r="O28" s="9">
        <f t="shared" si="1"/>
        <v>2121</v>
      </c>
      <c r="P28" s="9"/>
      <c r="R28" s="16">
        <v>0.01</v>
      </c>
      <c r="S28" s="16">
        <v>8.4000000000000005E-2</v>
      </c>
      <c r="T28" s="16">
        <v>6.3E-2</v>
      </c>
      <c r="U28" s="16">
        <v>2.7E-2</v>
      </c>
      <c r="W28" s="24">
        <v>0.91590000000000005</v>
      </c>
      <c r="X28" s="24">
        <v>0.91139999999999999</v>
      </c>
      <c r="Y28" s="24">
        <v>0.91579999999999995</v>
      </c>
      <c r="Z28" s="24">
        <v>0.91779999999999995</v>
      </c>
      <c r="AB28" s="24"/>
      <c r="AC28" s="24"/>
      <c r="AD28" s="24"/>
      <c r="AE28" s="24"/>
    </row>
    <row r="29" spans="2:31" s="1" customFormat="1" ht="15" thickBot="1" x14ac:dyDescent="0.25">
      <c r="B29" s="13"/>
      <c r="C29" s="6">
        <v>19</v>
      </c>
      <c r="D29" s="12">
        <v>62</v>
      </c>
      <c r="E29" s="12">
        <v>145</v>
      </c>
      <c r="F29" s="12">
        <v>79</v>
      </c>
      <c r="G29" s="12">
        <v>145</v>
      </c>
      <c r="H29" s="2"/>
      <c r="J29" s="9"/>
      <c r="L29" s="9">
        <f t="shared" si="0"/>
        <v>2200</v>
      </c>
      <c r="M29" s="9">
        <f t="shared" si="1"/>
        <v>2010</v>
      </c>
      <c r="N29" s="9">
        <f t="shared" si="1"/>
        <v>2351</v>
      </c>
      <c r="O29" s="9">
        <f t="shared" si="1"/>
        <v>2266</v>
      </c>
      <c r="P29" s="9"/>
      <c r="R29" s="16">
        <v>3.7999999999999999E-2</v>
      </c>
      <c r="S29" s="16">
        <v>0.06</v>
      </c>
      <c r="T29" s="16">
        <v>9.7000000000000003E-2</v>
      </c>
      <c r="U29" s="16">
        <v>5.8000000000000003E-2</v>
      </c>
      <c r="W29" s="24">
        <v>0.91879999999999995</v>
      </c>
      <c r="X29" s="24">
        <v>0.91259999999999997</v>
      </c>
      <c r="Y29" s="24">
        <v>0.91339999999999999</v>
      </c>
      <c r="Z29" s="24">
        <v>0.91339999999999999</v>
      </c>
      <c r="AB29" s="24"/>
      <c r="AC29" s="24"/>
      <c r="AD29" s="24"/>
      <c r="AE29" s="24"/>
    </row>
    <row r="30" spans="2:31" s="1" customFormat="1" ht="15" thickBot="1" x14ac:dyDescent="0.25">
      <c r="B30" s="13"/>
      <c r="C30" s="6">
        <v>20</v>
      </c>
      <c r="D30" s="12">
        <v>154</v>
      </c>
      <c r="E30" s="12">
        <v>88</v>
      </c>
      <c r="F30" s="12">
        <v>150</v>
      </c>
      <c r="G30" s="12">
        <v>127</v>
      </c>
      <c r="H30" s="2"/>
      <c r="J30" s="9"/>
      <c r="L30" s="9">
        <f t="shared" si="0"/>
        <v>2354</v>
      </c>
      <c r="M30" s="9">
        <f t="shared" si="1"/>
        <v>2098</v>
      </c>
      <c r="N30" s="9">
        <f t="shared" si="1"/>
        <v>2501</v>
      </c>
      <c r="O30" s="9">
        <f t="shared" si="1"/>
        <v>2393</v>
      </c>
      <c r="P30" s="9"/>
      <c r="R30" s="16">
        <v>5.8999999999999997E-2</v>
      </c>
      <c r="S30" s="16">
        <v>3.5000000000000003E-2</v>
      </c>
      <c r="T30" s="16">
        <v>7.2999999999999995E-2</v>
      </c>
      <c r="U30" s="16">
        <v>0.09</v>
      </c>
      <c r="W30" s="24">
        <v>0.91710000000000003</v>
      </c>
      <c r="X30" s="24">
        <v>0.91220000000000001</v>
      </c>
      <c r="Y30" s="24">
        <v>0.91839999999999999</v>
      </c>
      <c r="Z30" s="24">
        <v>0.91549999999999998</v>
      </c>
      <c r="AB30" s="24"/>
      <c r="AC30" s="24"/>
      <c r="AD30" s="24"/>
      <c r="AE30" s="24"/>
    </row>
    <row r="31" spans="2:31" s="1" customFormat="1" ht="15" thickBot="1" x14ac:dyDescent="0.25">
      <c r="B31" s="13"/>
      <c r="C31" s="6">
        <v>21</v>
      </c>
      <c r="D31" s="12">
        <v>62</v>
      </c>
      <c r="E31" s="12">
        <v>140</v>
      </c>
      <c r="F31" s="12">
        <v>124</v>
      </c>
      <c r="G31" s="12">
        <v>110</v>
      </c>
      <c r="H31" s="2"/>
      <c r="J31" s="9"/>
      <c r="L31" s="9">
        <f t="shared" si="0"/>
        <v>2416</v>
      </c>
      <c r="M31" s="9">
        <f t="shared" si="1"/>
        <v>2238</v>
      </c>
      <c r="N31" s="9">
        <f t="shared" si="1"/>
        <v>2625</v>
      </c>
      <c r="O31" s="9">
        <f t="shared" si="1"/>
        <v>2503</v>
      </c>
      <c r="P31" s="9"/>
      <c r="R31" s="16">
        <v>6.6000000000000003E-2</v>
      </c>
      <c r="S31" s="16">
        <v>4.5999999999999999E-2</v>
      </c>
      <c r="T31" s="16">
        <v>5.2999999999999999E-2</v>
      </c>
      <c r="U31" s="16">
        <v>2.7E-2</v>
      </c>
      <c r="W31" s="24">
        <v>0.91820000000000002</v>
      </c>
      <c r="X31" s="24">
        <v>0.91779999999999995</v>
      </c>
      <c r="Y31" s="24">
        <v>0.91810000000000003</v>
      </c>
      <c r="Z31" s="24">
        <v>0.91469999999999996</v>
      </c>
      <c r="AB31" s="24"/>
      <c r="AC31" s="24"/>
      <c r="AD31" s="24"/>
      <c r="AE31" s="24"/>
    </row>
    <row r="32" spans="2:31" s="1" customFormat="1" ht="15" thickBot="1" x14ac:dyDescent="0.25">
      <c r="B32" s="13"/>
      <c r="C32" s="6">
        <v>22</v>
      </c>
      <c r="D32" s="12">
        <v>74</v>
      </c>
      <c r="E32" s="12">
        <v>168</v>
      </c>
      <c r="F32" s="12">
        <v>127</v>
      </c>
      <c r="G32" s="12">
        <v>169</v>
      </c>
      <c r="H32" s="2"/>
      <c r="J32" s="9"/>
      <c r="L32" s="9">
        <f t="shared" si="0"/>
        <v>2490</v>
      </c>
      <c r="M32" s="9">
        <f t="shared" si="1"/>
        <v>2406</v>
      </c>
      <c r="N32" s="9">
        <f t="shared" si="1"/>
        <v>2752</v>
      </c>
      <c r="O32" s="9">
        <f t="shared" si="1"/>
        <v>2672</v>
      </c>
      <c r="P32" s="9"/>
      <c r="R32" s="16">
        <v>0.03</v>
      </c>
      <c r="S32" s="16">
        <v>9.9000000000000005E-2</v>
      </c>
      <c r="T32" s="16">
        <v>7.3999999999999996E-2</v>
      </c>
      <c r="U32" s="16">
        <v>4.9000000000000002E-2</v>
      </c>
      <c r="W32" s="24">
        <v>0.91200000000000003</v>
      </c>
      <c r="X32" s="24">
        <v>0.91830000000000001</v>
      </c>
      <c r="Y32" s="24">
        <v>0.91290000000000004</v>
      </c>
      <c r="Z32" s="24">
        <v>0.95</v>
      </c>
      <c r="AB32" s="24"/>
      <c r="AC32" s="24"/>
      <c r="AD32" s="24"/>
      <c r="AE32" s="24"/>
    </row>
    <row r="33" spans="2:31" s="1" customFormat="1" ht="15" thickBot="1" x14ac:dyDescent="0.25">
      <c r="B33" s="13"/>
      <c r="C33" s="6">
        <v>23</v>
      </c>
      <c r="D33" s="12">
        <v>155</v>
      </c>
      <c r="E33" s="12">
        <v>95</v>
      </c>
      <c r="F33" s="12">
        <v>65</v>
      </c>
      <c r="G33" s="12">
        <v>112</v>
      </c>
      <c r="H33" s="2"/>
      <c r="J33" s="9"/>
      <c r="L33" s="9">
        <f t="shared" si="0"/>
        <v>2645</v>
      </c>
      <c r="M33" s="9">
        <f t="shared" si="1"/>
        <v>2501</v>
      </c>
      <c r="N33" s="9">
        <f t="shared" si="1"/>
        <v>2817</v>
      </c>
      <c r="O33" s="9">
        <f t="shared" si="1"/>
        <v>2784</v>
      </c>
      <c r="P33" s="9"/>
      <c r="R33" s="16">
        <v>8.5000000000000006E-2</v>
      </c>
      <c r="S33" s="16">
        <v>9.8000000000000004E-2</v>
      </c>
      <c r="T33" s="16">
        <v>9.8000000000000004E-2</v>
      </c>
      <c r="U33" s="16">
        <v>2.7E-2</v>
      </c>
      <c r="W33" s="24">
        <v>0.91320000000000001</v>
      </c>
      <c r="X33" s="24">
        <v>0.91739999999999999</v>
      </c>
      <c r="Y33" s="24">
        <v>0.91479999999999995</v>
      </c>
      <c r="Z33" s="24">
        <v>0.9123</v>
      </c>
      <c r="AB33" s="24"/>
      <c r="AC33" s="24"/>
      <c r="AD33" s="24"/>
      <c r="AE33" s="24"/>
    </row>
    <row r="34" spans="2:31" s="1" customFormat="1" ht="15" thickBot="1" x14ac:dyDescent="0.25">
      <c r="B34" s="14"/>
      <c r="C34" s="15">
        <v>24</v>
      </c>
      <c r="D34" s="12">
        <v>85</v>
      </c>
      <c r="E34" s="12">
        <v>139</v>
      </c>
      <c r="F34" s="12">
        <v>112</v>
      </c>
      <c r="G34" s="12">
        <v>135</v>
      </c>
      <c r="H34" s="2"/>
      <c r="J34" s="9"/>
      <c r="L34" s="9">
        <f t="shared" si="0"/>
        <v>2730</v>
      </c>
      <c r="M34" s="9">
        <f t="shared" si="1"/>
        <v>2640</v>
      </c>
      <c r="N34" s="9">
        <f t="shared" si="1"/>
        <v>2929</v>
      </c>
      <c r="O34" s="9">
        <f t="shared" si="1"/>
        <v>2919</v>
      </c>
      <c r="P34" s="9"/>
      <c r="R34" s="16">
        <v>1.9E-2</v>
      </c>
      <c r="S34" s="16">
        <v>1.7999999999999999E-2</v>
      </c>
      <c r="T34" s="16">
        <v>4.3999999999999997E-2</v>
      </c>
      <c r="U34" s="16">
        <v>0.08</v>
      </c>
      <c r="W34" s="24">
        <v>0.91679999999999995</v>
      </c>
      <c r="X34" s="24">
        <v>0.91669999999999996</v>
      </c>
      <c r="Y34" s="24">
        <v>0.91020000000000001</v>
      </c>
      <c r="Z34" s="24">
        <v>0.91749999999999998</v>
      </c>
      <c r="AB34" s="24"/>
      <c r="AC34" s="24"/>
      <c r="AD34" s="24"/>
      <c r="AE34" s="24"/>
    </row>
    <row r="35" spans="2:31" s="1" customFormat="1" ht="15" thickBot="1" x14ac:dyDescent="0.25">
      <c r="B35" s="10"/>
      <c r="C35" s="11">
        <v>25</v>
      </c>
      <c r="D35" s="12">
        <v>88</v>
      </c>
      <c r="E35" s="12">
        <v>84</v>
      </c>
      <c r="F35" s="12">
        <v>77</v>
      </c>
      <c r="G35" s="12">
        <v>152</v>
      </c>
      <c r="H35" s="2"/>
      <c r="J35" s="9"/>
      <c r="L35" s="9">
        <f t="shared" si="0"/>
        <v>2818</v>
      </c>
      <c r="M35" s="9">
        <f t="shared" si="1"/>
        <v>2724</v>
      </c>
      <c r="N35" s="9">
        <f t="shared" si="1"/>
        <v>3006</v>
      </c>
      <c r="O35" s="9">
        <f t="shared" si="1"/>
        <v>3071</v>
      </c>
      <c r="P35" s="9"/>
      <c r="R35" s="16">
        <v>8.5000000000000006E-2</v>
      </c>
      <c r="S35" s="16">
        <v>2.1000000000000001E-2</v>
      </c>
      <c r="T35" s="16">
        <v>5.0000000000000001E-3</v>
      </c>
      <c r="U35" s="16">
        <v>9.0999999999999998E-2</v>
      </c>
      <c r="W35" s="24">
        <v>0.91669999999999996</v>
      </c>
      <c r="X35" s="24">
        <v>0.91069999999999995</v>
      </c>
      <c r="Y35" s="24">
        <v>0.91869999999999996</v>
      </c>
      <c r="Z35" s="24">
        <v>0.91139999999999999</v>
      </c>
      <c r="AB35" s="24"/>
      <c r="AC35" s="24"/>
      <c r="AD35" s="24"/>
      <c r="AE35" s="24"/>
    </row>
    <row r="36" spans="2:31" s="1" customFormat="1" ht="15" thickBot="1" x14ac:dyDescent="0.25">
      <c r="B36" s="13"/>
      <c r="C36" s="6">
        <v>26</v>
      </c>
      <c r="D36" s="12">
        <v>120</v>
      </c>
      <c r="E36" s="12">
        <v>84</v>
      </c>
      <c r="F36" s="12">
        <v>103</v>
      </c>
      <c r="G36" s="12">
        <v>149</v>
      </c>
      <c r="H36" s="2"/>
      <c r="J36" s="9"/>
      <c r="L36" s="9">
        <f t="shared" si="0"/>
        <v>2938</v>
      </c>
      <c r="M36" s="9">
        <f t="shared" si="1"/>
        <v>2808</v>
      </c>
      <c r="N36" s="9">
        <f t="shared" si="1"/>
        <v>3109</v>
      </c>
      <c r="O36" s="9">
        <f t="shared" si="1"/>
        <v>3220</v>
      </c>
      <c r="P36" s="9"/>
      <c r="R36" s="16">
        <v>3.5999999999999997E-2</v>
      </c>
      <c r="S36" s="16">
        <v>3.5000000000000003E-2</v>
      </c>
      <c r="T36" s="16">
        <v>4.3999999999999997E-2</v>
      </c>
      <c r="U36" s="16">
        <v>8.5999999999999993E-2</v>
      </c>
      <c r="W36" s="24">
        <v>0.91</v>
      </c>
      <c r="X36" s="24">
        <v>0.91739999999999999</v>
      </c>
      <c r="Y36" s="24">
        <v>0.91479999999999995</v>
      </c>
      <c r="Z36" s="24">
        <v>0.91859999999999997</v>
      </c>
      <c r="AB36" s="24"/>
      <c r="AC36" s="24"/>
      <c r="AD36" s="24"/>
      <c r="AE36" s="24"/>
    </row>
    <row r="37" spans="2:31" s="1" customFormat="1" ht="15" thickBot="1" x14ac:dyDescent="0.25">
      <c r="B37" s="13"/>
      <c r="C37" s="6">
        <v>27</v>
      </c>
      <c r="D37" s="12">
        <v>91</v>
      </c>
      <c r="E37" s="12">
        <v>156</v>
      </c>
      <c r="F37" s="12">
        <v>139</v>
      </c>
      <c r="G37" s="12">
        <v>152</v>
      </c>
      <c r="H37" s="2"/>
      <c r="J37" s="9"/>
      <c r="L37" s="9">
        <f t="shared" si="0"/>
        <v>3029</v>
      </c>
      <c r="M37" s="9">
        <f t="shared" si="1"/>
        <v>2964</v>
      </c>
      <c r="N37" s="9">
        <f t="shared" si="1"/>
        <v>3248</v>
      </c>
      <c r="O37" s="9">
        <f t="shared" si="1"/>
        <v>3372</v>
      </c>
      <c r="P37" s="9"/>
      <c r="R37" s="16">
        <v>9.8000000000000004E-2</v>
      </c>
      <c r="S37" s="16">
        <v>6.7000000000000004E-2</v>
      </c>
      <c r="T37" s="16">
        <v>4.7E-2</v>
      </c>
      <c r="U37" s="16">
        <v>2.5000000000000001E-2</v>
      </c>
      <c r="W37" s="24">
        <v>0.91669999999999996</v>
      </c>
      <c r="X37" s="24">
        <v>0.91669999999999996</v>
      </c>
      <c r="Y37" s="24">
        <v>0.91710000000000003</v>
      </c>
      <c r="Z37" s="24">
        <v>0.97</v>
      </c>
      <c r="AB37" s="24"/>
      <c r="AC37" s="24"/>
      <c r="AD37" s="24"/>
      <c r="AE37" s="24"/>
    </row>
    <row r="38" spans="2:31" s="1" customFormat="1" ht="15" thickBot="1" x14ac:dyDescent="0.25">
      <c r="B38" s="13"/>
      <c r="C38" s="6">
        <v>28</v>
      </c>
      <c r="D38" s="12">
        <v>62</v>
      </c>
      <c r="E38" s="12">
        <v>96</v>
      </c>
      <c r="F38" s="12">
        <v>93</v>
      </c>
      <c r="G38" s="12">
        <v>128</v>
      </c>
      <c r="H38" s="2"/>
      <c r="J38" s="9"/>
      <c r="L38" s="9">
        <f t="shared" si="0"/>
        <v>3091</v>
      </c>
      <c r="M38" s="9">
        <f t="shared" si="1"/>
        <v>3060</v>
      </c>
      <c r="N38" s="9">
        <f t="shared" si="1"/>
        <v>3341</v>
      </c>
      <c r="O38" s="9">
        <f t="shared" si="1"/>
        <v>3500</v>
      </c>
      <c r="P38" s="9"/>
      <c r="R38" s="16">
        <v>9.1999999999999998E-2</v>
      </c>
      <c r="S38" s="16">
        <v>1.4999999999999999E-2</v>
      </c>
      <c r="T38" s="16">
        <v>5.6000000000000001E-2</v>
      </c>
      <c r="U38" s="16">
        <v>6.7000000000000004E-2</v>
      </c>
      <c r="W38" s="24">
        <v>0.91439999999999999</v>
      </c>
      <c r="X38" s="24">
        <v>0.91710000000000003</v>
      </c>
      <c r="Y38" s="24">
        <v>0.91890000000000005</v>
      </c>
      <c r="Z38" s="24">
        <v>0.9143</v>
      </c>
      <c r="AB38" s="24"/>
      <c r="AC38" s="24"/>
      <c r="AD38" s="24"/>
      <c r="AE38" s="24"/>
    </row>
    <row r="39" spans="2:31" s="1" customFormat="1" ht="15" thickBot="1" x14ac:dyDescent="0.25">
      <c r="B39" s="13"/>
      <c r="C39" s="6">
        <v>29</v>
      </c>
      <c r="D39" s="12">
        <v>157</v>
      </c>
      <c r="E39" s="12">
        <v>72</v>
      </c>
      <c r="F39" s="12">
        <v>149</v>
      </c>
      <c r="G39" s="12">
        <v>83</v>
      </c>
      <c r="H39" s="2"/>
      <c r="J39" s="9"/>
      <c r="L39" s="9">
        <f t="shared" si="0"/>
        <v>3248</v>
      </c>
      <c r="M39" s="9">
        <f t="shared" si="1"/>
        <v>3132</v>
      </c>
      <c r="N39" s="9">
        <f t="shared" si="1"/>
        <v>3490</v>
      </c>
      <c r="O39" s="9">
        <f t="shared" si="1"/>
        <v>3583</v>
      </c>
      <c r="P39" s="9"/>
      <c r="R39" s="16">
        <v>8.4000000000000005E-2</v>
      </c>
      <c r="S39" s="16">
        <v>1.7999999999999999E-2</v>
      </c>
      <c r="T39" s="16">
        <v>9.8000000000000004E-2</v>
      </c>
      <c r="U39" s="16">
        <v>1.6E-2</v>
      </c>
      <c r="W39" s="24">
        <v>0.91449999999999998</v>
      </c>
      <c r="X39" s="24">
        <v>0.91220000000000001</v>
      </c>
      <c r="Y39" s="24">
        <v>0.9133</v>
      </c>
      <c r="Z39" s="24">
        <v>0.9153</v>
      </c>
      <c r="AB39" s="24"/>
      <c r="AC39" s="24"/>
      <c r="AD39" s="24"/>
      <c r="AE39" s="24"/>
    </row>
    <row r="40" spans="2:31" s="1" customFormat="1" ht="15" thickBot="1" x14ac:dyDescent="0.25">
      <c r="B40" s="13"/>
      <c r="C40" s="6">
        <v>30</v>
      </c>
      <c r="D40" s="12">
        <v>109</v>
      </c>
      <c r="E40" s="12">
        <v>98</v>
      </c>
      <c r="F40" s="12">
        <v>130</v>
      </c>
      <c r="G40" s="12">
        <v>98</v>
      </c>
      <c r="H40" s="2"/>
      <c r="J40" s="9"/>
      <c r="L40" s="9">
        <f t="shared" si="0"/>
        <v>3357</v>
      </c>
      <c r="M40" s="9">
        <f t="shared" si="1"/>
        <v>3230</v>
      </c>
      <c r="N40" s="9">
        <f t="shared" si="1"/>
        <v>3620</v>
      </c>
      <c r="O40" s="9">
        <f t="shared" si="1"/>
        <v>3681</v>
      </c>
      <c r="P40" s="9"/>
      <c r="R40" s="16">
        <v>1.0999999999999999E-2</v>
      </c>
      <c r="S40" s="16">
        <v>1.0999999999999999E-2</v>
      </c>
      <c r="T40" s="16">
        <v>4.2000000000000003E-2</v>
      </c>
      <c r="U40" s="16">
        <v>0.01</v>
      </c>
      <c r="W40" s="24">
        <v>0.90990000000000004</v>
      </c>
      <c r="X40" s="24">
        <v>0.91049999999999998</v>
      </c>
      <c r="Y40" s="24">
        <v>0.90990000000000004</v>
      </c>
      <c r="Z40" s="24">
        <v>0.91779999999999995</v>
      </c>
      <c r="AB40" s="24"/>
      <c r="AC40" s="24"/>
      <c r="AD40" s="24"/>
      <c r="AE40" s="24"/>
    </row>
    <row r="41" spans="2:31" s="1" customFormat="1" ht="15" thickBot="1" x14ac:dyDescent="0.25">
      <c r="B41" s="13"/>
      <c r="C41" s="6">
        <v>31</v>
      </c>
      <c r="D41" s="12">
        <v>120</v>
      </c>
      <c r="E41" s="12">
        <v>106</v>
      </c>
      <c r="F41" s="12">
        <v>161</v>
      </c>
      <c r="G41" s="12">
        <v>155</v>
      </c>
      <c r="H41" s="2"/>
      <c r="J41" s="9"/>
      <c r="L41" s="9">
        <f t="shared" si="0"/>
        <v>3477</v>
      </c>
      <c r="M41" s="9">
        <f t="shared" si="1"/>
        <v>3336</v>
      </c>
      <c r="N41" s="9">
        <f t="shared" si="1"/>
        <v>3781</v>
      </c>
      <c r="O41" s="9">
        <f t="shared" si="1"/>
        <v>3836</v>
      </c>
      <c r="P41" s="9"/>
      <c r="R41" s="16">
        <v>4.2000000000000003E-2</v>
      </c>
      <c r="S41" s="16">
        <v>7.3999999999999996E-2</v>
      </c>
      <c r="T41" s="16">
        <v>4.3999999999999997E-2</v>
      </c>
      <c r="U41" s="16">
        <v>9.1999999999999998E-2</v>
      </c>
      <c r="W41" s="24">
        <v>0.91269999999999996</v>
      </c>
      <c r="X41" s="24">
        <v>0.91820000000000002</v>
      </c>
      <c r="Y41" s="24">
        <v>0.91059999999999997</v>
      </c>
      <c r="Z41" s="24">
        <v>0.90939999999999999</v>
      </c>
      <c r="AB41" s="24"/>
      <c r="AC41" s="24"/>
      <c r="AD41" s="24"/>
      <c r="AE41" s="24"/>
    </row>
    <row r="42" spans="2:31" s="1" customFormat="1" ht="15" thickBot="1" x14ac:dyDescent="0.25">
      <c r="B42" s="13"/>
      <c r="C42" s="6">
        <v>32</v>
      </c>
      <c r="D42" s="12">
        <v>130</v>
      </c>
      <c r="E42" s="12">
        <v>96</v>
      </c>
      <c r="F42" s="12">
        <v>127</v>
      </c>
      <c r="G42" s="12">
        <v>82</v>
      </c>
      <c r="H42" s="2"/>
      <c r="J42" s="9"/>
      <c r="L42" s="9">
        <f t="shared" si="0"/>
        <v>3607</v>
      </c>
      <c r="M42" s="9">
        <f t="shared" si="1"/>
        <v>3432</v>
      </c>
      <c r="N42" s="9">
        <f t="shared" si="1"/>
        <v>3908</v>
      </c>
      <c r="O42" s="9">
        <f t="shared" si="1"/>
        <v>3918</v>
      </c>
      <c r="P42" s="9"/>
      <c r="R42" s="16">
        <v>3.2000000000000001E-2</v>
      </c>
      <c r="S42" s="16">
        <v>9.5000000000000001E-2</v>
      </c>
      <c r="T42" s="16">
        <v>3.5000000000000003E-2</v>
      </c>
      <c r="U42" s="16">
        <v>2.8000000000000001E-2</v>
      </c>
      <c r="W42" s="24">
        <v>0.91739999999999999</v>
      </c>
      <c r="X42" s="24">
        <v>0.91269999999999996</v>
      </c>
      <c r="Y42" s="24">
        <v>0.91539999999999999</v>
      </c>
      <c r="Z42" s="24">
        <v>0.91479999999999995</v>
      </c>
      <c r="AB42" s="24"/>
      <c r="AC42" s="24"/>
      <c r="AD42" s="24"/>
      <c r="AE42" s="24"/>
    </row>
    <row r="43" spans="2:31" s="1" customFormat="1" ht="15" thickBot="1" x14ac:dyDescent="0.25">
      <c r="B43" s="13"/>
      <c r="C43" s="6">
        <v>33</v>
      </c>
      <c r="D43" s="12">
        <v>92</v>
      </c>
      <c r="E43" s="12">
        <v>135</v>
      </c>
      <c r="F43" s="12">
        <v>104</v>
      </c>
      <c r="G43" s="12">
        <v>97</v>
      </c>
      <c r="H43" s="2"/>
      <c r="J43" s="9"/>
      <c r="L43" s="9">
        <f t="shared" si="0"/>
        <v>3699</v>
      </c>
      <c r="M43" s="9">
        <f t="shared" si="1"/>
        <v>3567</v>
      </c>
      <c r="N43" s="9">
        <f t="shared" si="1"/>
        <v>4012</v>
      </c>
      <c r="O43" s="9">
        <f t="shared" si="1"/>
        <v>4015</v>
      </c>
      <c r="P43" s="9"/>
      <c r="R43" s="16">
        <v>2.7E-2</v>
      </c>
      <c r="S43" s="16">
        <v>7.5999999999999998E-2</v>
      </c>
      <c r="T43" s="16">
        <v>6.3E-2</v>
      </c>
      <c r="U43" s="16">
        <v>7.0999999999999994E-2</v>
      </c>
      <c r="W43" s="24">
        <v>0.91200000000000003</v>
      </c>
      <c r="X43" s="24">
        <v>0.91559999999999997</v>
      </c>
      <c r="Y43" s="24">
        <v>0.9133</v>
      </c>
      <c r="Z43" s="24">
        <v>0.91869999999999996</v>
      </c>
      <c r="AB43" s="24"/>
      <c r="AC43" s="24"/>
      <c r="AD43" s="24"/>
      <c r="AE43" s="24"/>
    </row>
    <row r="44" spans="2:31" s="1" customFormat="1" ht="15" thickBot="1" x14ac:dyDescent="0.25">
      <c r="B44" s="13"/>
      <c r="C44" s="6">
        <v>34</v>
      </c>
      <c r="D44" s="12">
        <v>116</v>
      </c>
      <c r="E44" s="12">
        <v>129</v>
      </c>
      <c r="F44" s="12">
        <v>132</v>
      </c>
      <c r="G44" s="12">
        <v>89</v>
      </c>
      <c r="H44" s="2"/>
      <c r="J44" s="9"/>
      <c r="L44" s="9">
        <f t="shared" si="0"/>
        <v>3815</v>
      </c>
      <c r="M44" s="9">
        <f t="shared" si="1"/>
        <v>3696</v>
      </c>
      <c r="N44" s="9">
        <f t="shared" si="1"/>
        <v>4144</v>
      </c>
      <c r="O44" s="9">
        <f t="shared" si="1"/>
        <v>4104</v>
      </c>
      <c r="P44" s="9"/>
      <c r="R44" s="16">
        <v>5.8000000000000003E-2</v>
      </c>
      <c r="S44" s="16">
        <v>5.8999999999999997E-2</v>
      </c>
      <c r="T44" s="16">
        <v>8.1000000000000003E-2</v>
      </c>
      <c r="U44" s="16">
        <v>0.04</v>
      </c>
      <c r="W44" s="24">
        <v>0.91320000000000001</v>
      </c>
      <c r="X44" s="24">
        <v>0.9143</v>
      </c>
      <c r="Y44" s="24">
        <v>0.91790000000000005</v>
      </c>
      <c r="Z44" s="24">
        <v>0.90910000000000002</v>
      </c>
      <c r="AB44" s="24"/>
      <c r="AC44" s="24"/>
      <c r="AD44" s="24"/>
      <c r="AE44" s="24"/>
    </row>
    <row r="45" spans="2:31" s="1" customFormat="1" ht="15" thickBot="1" x14ac:dyDescent="0.25">
      <c r="B45" s="13"/>
      <c r="C45" s="6">
        <v>35</v>
      </c>
      <c r="D45" s="12">
        <v>148</v>
      </c>
      <c r="E45" s="12">
        <v>157</v>
      </c>
      <c r="F45" s="12">
        <v>106</v>
      </c>
      <c r="G45" s="12">
        <v>110</v>
      </c>
      <c r="H45" s="2"/>
      <c r="J45" s="9"/>
      <c r="L45" s="9">
        <f t="shared" si="0"/>
        <v>3963</v>
      </c>
      <c r="M45" s="9">
        <f t="shared" si="1"/>
        <v>3853</v>
      </c>
      <c r="N45" s="9">
        <f t="shared" si="1"/>
        <v>4250</v>
      </c>
      <c r="O45" s="9">
        <f t="shared" si="1"/>
        <v>4214</v>
      </c>
      <c r="P45" s="9"/>
      <c r="R45" s="16">
        <v>3.1E-2</v>
      </c>
      <c r="S45" s="16">
        <v>6.9000000000000006E-2</v>
      </c>
      <c r="T45" s="16">
        <v>8.6999999999999994E-2</v>
      </c>
      <c r="U45" s="16">
        <v>0.05</v>
      </c>
      <c r="W45" s="24">
        <v>0.91359999999999997</v>
      </c>
      <c r="X45" s="24">
        <v>0.91349999999999998</v>
      </c>
      <c r="Y45" s="24">
        <v>0.90980000000000005</v>
      </c>
      <c r="Z45" s="24">
        <v>0.91600000000000004</v>
      </c>
      <c r="AB45" s="24"/>
      <c r="AC45" s="24"/>
      <c r="AD45" s="24"/>
      <c r="AE45" s="24"/>
    </row>
    <row r="46" spans="2:31" s="1" customFormat="1" ht="15" thickBot="1" x14ac:dyDescent="0.25">
      <c r="B46" s="14"/>
      <c r="C46" s="15">
        <v>36</v>
      </c>
      <c r="D46" s="12">
        <v>68</v>
      </c>
      <c r="E46" s="12">
        <v>120</v>
      </c>
      <c r="F46" s="12">
        <v>167</v>
      </c>
      <c r="G46" s="12">
        <v>118</v>
      </c>
      <c r="H46" s="2"/>
      <c r="J46" s="9"/>
      <c r="L46" s="9">
        <f t="shared" si="0"/>
        <v>4031</v>
      </c>
      <c r="M46" s="9">
        <f t="shared" si="1"/>
        <v>3973</v>
      </c>
      <c r="N46" s="9">
        <f t="shared" si="1"/>
        <v>4417</v>
      </c>
      <c r="O46" s="9">
        <f t="shared" si="1"/>
        <v>4332</v>
      </c>
      <c r="P46" s="9"/>
      <c r="R46" s="16">
        <v>6.7000000000000004E-2</v>
      </c>
      <c r="S46" s="16">
        <v>8.9999999999999993E-3</v>
      </c>
      <c r="T46" s="16">
        <v>6.7000000000000004E-2</v>
      </c>
      <c r="U46" s="16">
        <v>4.8000000000000001E-2</v>
      </c>
      <c r="W46" s="24">
        <v>0.91320000000000001</v>
      </c>
      <c r="X46" s="24">
        <v>0.91820000000000002</v>
      </c>
      <c r="Y46" s="24">
        <v>0.90949999999999998</v>
      </c>
      <c r="Z46" s="24">
        <v>0.91390000000000005</v>
      </c>
      <c r="AB46" s="24"/>
      <c r="AC46" s="24"/>
      <c r="AD46" s="24"/>
      <c r="AE46" s="24"/>
    </row>
    <row r="47" spans="2:31" s="1" customFormat="1" ht="15" thickBot="1" x14ac:dyDescent="0.25">
      <c r="B47" s="10"/>
      <c r="C47" s="11">
        <v>37</v>
      </c>
      <c r="D47" s="12">
        <v>158</v>
      </c>
      <c r="E47" s="12">
        <v>105</v>
      </c>
      <c r="F47" s="12">
        <v>102</v>
      </c>
      <c r="G47" s="12">
        <v>82</v>
      </c>
      <c r="H47" s="2"/>
      <c r="J47" s="9"/>
      <c r="L47" s="9">
        <f t="shared" si="0"/>
        <v>4189</v>
      </c>
      <c r="M47" s="9">
        <f t="shared" si="1"/>
        <v>4078</v>
      </c>
      <c r="N47" s="9">
        <f t="shared" si="1"/>
        <v>4519</v>
      </c>
      <c r="O47" s="9">
        <f t="shared" si="1"/>
        <v>4414</v>
      </c>
      <c r="P47" s="9"/>
      <c r="R47" s="16">
        <v>1.0999999999999999E-2</v>
      </c>
      <c r="S47" s="16">
        <v>4.9000000000000002E-2</v>
      </c>
      <c r="T47" s="16">
        <v>1.0999999999999999E-2</v>
      </c>
      <c r="U47" s="16">
        <v>4.2999999999999997E-2</v>
      </c>
      <c r="W47" s="24">
        <v>0.91</v>
      </c>
      <c r="X47" s="24">
        <v>0.91090000000000004</v>
      </c>
      <c r="Y47" s="24">
        <v>0.91910000000000003</v>
      </c>
      <c r="Z47" s="24">
        <v>0.91600000000000004</v>
      </c>
      <c r="AB47" s="24"/>
      <c r="AC47" s="24"/>
      <c r="AD47" s="24"/>
      <c r="AE47" s="24"/>
    </row>
    <row r="48" spans="2:31" s="1" customFormat="1" ht="15" thickBot="1" x14ac:dyDescent="0.25">
      <c r="B48" s="13"/>
      <c r="C48" s="6">
        <v>38</v>
      </c>
      <c r="D48" s="12">
        <v>140</v>
      </c>
      <c r="E48" s="12">
        <v>154</v>
      </c>
      <c r="F48" s="12">
        <v>157</v>
      </c>
      <c r="G48" s="12">
        <v>118</v>
      </c>
      <c r="H48" s="2"/>
      <c r="J48" s="9"/>
      <c r="L48" s="9">
        <f t="shared" si="0"/>
        <v>4329</v>
      </c>
      <c r="M48" s="9">
        <f t="shared" si="1"/>
        <v>4232</v>
      </c>
      <c r="N48" s="9">
        <f t="shared" si="1"/>
        <v>4676</v>
      </c>
      <c r="O48" s="9">
        <f t="shared" si="1"/>
        <v>4532</v>
      </c>
      <c r="P48" s="9"/>
      <c r="R48" s="16">
        <v>7.8E-2</v>
      </c>
      <c r="S48" s="16">
        <v>9.9000000000000005E-2</v>
      </c>
      <c r="T48" s="16">
        <v>5.8000000000000003E-2</v>
      </c>
      <c r="U48" s="16">
        <v>4.8000000000000001E-2</v>
      </c>
      <c r="W48" s="24">
        <v>0.91410000000000002</v>
      </c>
      <c r="X48" s="24">
        <v>0.91420000000000001</v>
      </c>
      <c r="Y48" s="24">
        <v>0.91190000000000004</v>
      </c>
      <c r="Z48" s="24">
        <v>0.9123</v>
      </c>
      <c r="AB48" s="24"/>
      <c r="AC48" s="24"/>
      <c r="AD48" s="24"/>
      <c r="AE48" s="24"/>
    </row>
    <row r="49" spans="2:31" s="1" customFormat="1" ht="15" thickBot="1" x14ac:dyDescent="0.25">
      <c r="B49" s="13"/>
      <c r="C49" s="6">
        <v>39</v>
      </c>
      <c r="D49" s="12">
        <v>77</v>
      </c>
      <c r="E49" s="12">
        <v>86</v>
      </c>
      <c r="F49" s="12">
        <v>163</v>
      </c>
      <c r="G49" s="12">
        <v>131</v>
      </c>
      <c r="H49" s="2"/>
      <c r="J49" s="9"/>
      <c r="L49" s="9">
        <f t="shared" si="0"/>
        <v>4406</v>
      </c>
      <c r="M49" s="9">
        <f t="shared" si="1"/>
        <v>4318</v>
      </c>
      <c r="N49" s="9">
        <f t="shared" si="1"/>
        <v>4839</v>
      </c>
      <c r="O49" s="9">
        <f t="shared" si="1"/>
        <v>4663</v>
      </c>
      <c r="P49" s="9"/>
      <c r="R49" s="16">
        <v>4.2000000000000003E-2</v>
      </c>
      <c r="S49" s="16">
        <v>3.2000000000000001E-2</v>
      </c>
      <c r="T49" s="16">
        <v>3.6999999999999998E-2</v>
      </c>
      <c r="U49" s="16">
        <v>3.1E-2</v>
      </c>
      <c r="W49" s="24">
        <v>0.91239999999999999</v>
      </c>
      <c r="X49" s="24">
        <v>0.91180000000000005</v>
      </c>
      <c r="Y49" s="24">
        <v>0.90939999999999999</v>
      </c>
      <c r="Z49" s="24">
        <v>0.91139999999999999</v>
      </c>
      <c r="AB49" s="24"/>
      <c r="AC49" s="24"/>
      <c r="AD49" s="24"/>
      <c r="AE49" s="24"/>
    </row>
    <row r="50" spans="2:31" s="1" customFormat="1" ht="15" thickBot="1" x14ac:dyDescent="0.25">
      <c r="B50" s="13"/>
      <c r="C50" s="6">
        <v>40</v>
      </c>
      <c r="D50" s="12">
        <v>165</v>
      </c>
      <c r="E50" s="12">
        <v>92</v>
      </c>
      <c r="F50" s="12">
        <v>167</v>
      </c>
      <c r="G50" s="12">
        <v>94</v>
      </c>
      <c r="H50" s="2"/>
      <c r="J50" s="9"/>
      <c r="L50" s="9">
        <f t="shared" si="0"/>
        <v>4571</v>
      </c>
      <c r="M50" s="9">
        <f t="shared" si="1"/>
        <v>4410</v>
      </c>
      <c r="N50" s="9">
        <f t="shared" si="1"/>
        <v>5006</v>
      </c>
      <c r="O50" s="9">
        <f t="shared" si="1"/>
        <v>4757</v>
      </c>
      <c r="P50" s="9"/>
      <c r="R50" s="16">
        <v>0</v>
      </c>
      <c r="S50" s="16">
        <v>1.2E-2</v>
      </c>
      <c r="T50" s="16">
        <v>6.7000000000000004E-2</v>
      </c>
      <c r="U50" s="16">
        <v>0.09</v>
      </c>
      <c r="W50" s="24">
        <v>0.90980000000000005</v>
      </c>
      <c r="X50" s="24">
        <v>0.91110000000000002</v>
      </c>
      <c r="Y50" s="24">
        <v>0.91300000000000003</v>
      </c>
      <c r="Z50" s="24">
        <v>0.91059999999999997</v>
      </c>
      <c r="AB50" s="24"/>
      <c r="AC50" s="24"/>
      <c r="AD50" s="24"/>
      <c r="AE50" s="24"/>
    </row>
    <row r="51" spans="2:31" s="1" customFormat="1" ht="15" thickBot="1" x14ac:dyDescent="0.25">
      <c r="B51" s="13"/>
      <c r="C51" s="6">
        <v>41</v>
      </c>
      <c r="D51" s="12">
        <v>118</v>
      </c>
      <c r="E51" s="12">
        <v>79</v>
      </c>
      <c r="F51" s="12">
        <v>61</v>
      </c>
      <c r="G51" s="12">
        <v>166</v>
      </c>
      <c r="H51" s="2"/>
      <c r="J51" s="9"/>
      <c r="L51" s="9">
        <f t="shared" si="0"/>
        <v>4689</v>
      </c>
      <c r="M51" s="9">
        <f t="shared" si="1"/>
        <v>4489</v>
      </c>
      <c r="N51" s="9">
        <f t="shared" si="1"/>
        <v>5067</v>
      </c>
      <c r="O51" s="9">
        <f t="shared" si="1"/>
        <v>4923</v>
      </c>
      <c r="P51" s="9"/>
      <c r="R51" s="16">
        <v>2.5999999999999999E-2</v>
      </c>
      <c r="S51" s="16">
        <v>8.7999999999999995E-2</v>
      </c>
      <c r="T51" s="16">
        <v>0.08</v>
      </c>
      <c r="U51" s="16">
        <v>2.1000000000000001E-2</v>
      </c>
      <c r="W51" s="24">
        <v>0.91320000000000001</v>
      </c>
      <c r="X51" s="24">
        <v>0.91259999999999997</v>
      </c>
      <c r="Y51" s="24">
        <v>0.91739999999999999</v>
      </c>
      <c r="Z51" s="24">
        <v>0.91090000000000004</v>
      </c>
      <c r="AB51" s="24"/>
      <c r="AC51" s="24"/>
      <c r="AD51" s="24"/>
      <c r="AE51" s="24"/>
    </row>
    <row r="52" spans="2:31" s="1" customFormat="1" ht="15" thickBot="1" x14ac:dyDescent="0.25">
      <c r="B52" s="13"/>
      <c r="C52" s="6">
        <v>42</v>
      </c>
      <c r="D52" s="12">
        <v>167</v>
      </c>
      <c r="E52" s="12">
        <v>87</v>
      </c>
      <c r="F52" s="12">
        <v>72</v>
      </c>
      <c r="G52" s="12">
        <v>89</v>
      </c>
      <c r="H52" s="2"/>
      <c r="J52" s="9"/>
      <c r="L52" s="9">
        <f t="shared" si="0"/>
        <v>4856</v>
      </c>
      <c r="M52" s="9">
        <f t="shared" si="1"/>
        <v>4576</v>
      </c>
      <c r="N52" s="9">
        <f t="shared" si="1"/>
        <v>5139</v>
      </c>
      <c r="O52" s="9">
        <f t="shared" si="1"/>
        <v>5012</v>
      </c>
      <c r="P52" s="9"/>
      <c r="R52" s="16">
        <v>2.8000000000000001E-2</v>
      </c>
      <c r="S52" s="16">
        <v>6.5000000000000002E-2</v>
      </c>
      <c r="T52" s="16">
        <v>3.5999999999999997E-2</v>
      </c>
      <c r="U52" s="16">
        <v>7.4999999999999997E-2</v>
      </c>
      <c r="W52" s="24">
        <v>0.91120000000000001</v>
      </c>
      <c r="X52" s="24">
        <v>0.9133</v>
      </c>
      <c r="Y52" s="24">
        <v>0.9143</v>
      </c>
      <c r="Z52" s="24">
        <v>0.91579999999999995</v>
      </c>
      <c r="AB52" s="24"/>
      <c r="AC52" s="24"/>
      <c r="AD52" s="24"/>
      <c r="AE52" s="24"/>
    </row>
    <row r="53" spans="2:31" s="1" customFormat="1" ht="15" thickBot="1" x14ac:dyDescent="0.25">
      <c r="B53" s="13"/>
      <c r="C53" s="6">
        <v>43</v>
      </c>
      <c r="D53" s="12">
        <v>120</v>
      </c>
      <c r="E53" s="12">
        <v>123</v>
      </c>
      <c r="F53" s="12">
        <v>81</v>
      </c>
      <c r="G53" s="12">
        <v>117</v>
      </c>
      <c r="H53" s="2"/>
      <c r="J53" s="9"/>
      <c r="L53" s="9">
        <f t="shared" si="0"/>
        <v>4976</v>
      </c>
      <c r="M53" s="9">
        <f t="shared" si="1"/>
        <v>4699</v>
      </c>
      <c r="N53" s="9">
        <f t="shared" si="1"/>
        <v>5220</v>
      </c>
      <c r="O53" s="9">
        <f t="shared" si="1"/>
        <v>5129</v>
      </c>
      <c r="P53" s="9"/>
      <c r="R53" s="16">
        <v>6.5000000000000002E-2</v>
      </c>
      <c r="S53" s="16">
        <v>4.1000000000000002E-2</v>
      </c>
      <c r="T53" s="16">
        <v>9.8000000000000004E-2</v>
      </c>
      <c r="U53" s="16">
        <v>2.7E-2</v>
      </c>
      <c r="W53" s="24">
        <v>0.91590000000000005</v>
      </c>
      <c r="X53" s="24">
        <v>0.9123</v>
      </c>
      <c r="Y53" s="24">
        <v>0.91759999999999997</v>
      </c>
      <c r="Z53" s="24">
        <v>0.91100000000000003</v>
      </c>
      <c r="AB53" s="24"/>
      <c r="AC53" s="24"/>
      <c r="AD53" s="24"/>
      <c r="AE53" s="24"/>
    </row>
    <row r="54" spans="2:31" s="1" customFormat="1" ht="15" thickBot="1" x14ac:dyDescent="0.25">
      <c r="B54" s="13"/>
      <c r="C54" s="6">
        <v>44</v>
      </c>
      <c r="D54" s="12">
        <v>123</v>
      </c>
      <c r="E54" s="12">
        <v>136</v>
      </c>
      <c r="F54" s="12">
        <v>139</v>
      </c>
      <c r="G54" s="12">
        <v>89</v>
      </c>
      <c r="H54" s="2"/>
      <c r="J54" s="9"/>
      <c r="L54" s="9">
        <f t="shared" si="0"/>
        <v>5099</v>
      </c>
      <c r="M54" s="9">
        <f t="shared" si="1"/>
        <v>4835</v>
      </c>
      <c r="N54" s="9">
        <f t="shared" si="1"/>
        <v>5359</v>
      </c>
      <c r="O54" s="9">
        <f t="shared" si="1"/>
        <v>5218</v>
      </c>
      <c r="P54" s="9"/>
      <c r="R54" s="16">
        <v>5.6000000000000001E-2</v>
      </c>
      <c r="S54" s="16">
        <v>2.3E-2</v>
      </c>
      <c r="T54" s="16">
        <v>7.4999999999999997E-2</v>
      </c>
      <c r="U54" s="16">
        <v>1.4E-2</v>
      </c>
      <c r="W54" s="24">
        <v>0.91269999999999996</v>
      </c>
      <c r="X54" s="24">
        <v>0.91169999999999995</v>
      </c>
      <c r="Y54" s="24">
        <v>0.91700000000000004</v>
      </c>
      <c r="Z54" s="24">
        <v>0.90949999999999998</v>
      </c>
      <c r="AB54" s="24"/>
      <c r="AC54" s="24"/>
      <c r="AD54" s="24"/>
      <c r="AE54" s="24"/>
    </row>
    <row r="55" spans="2:31" s="1" customFormat="1" ht="15" thickBot="1" x14ac:dyDescent="0.25">
      <c r="B55" s="13"/>
      <c r="C55" s="6">
        <v>45</v>
      </c>
      <c r="D55" s="12">
        <v>64</v>
      </c>
      <c r="E55" s="12">
        <v>163</v>
      </c>
      <c r="F55" s="12">
        <v>146</v>
      </c>
      <c r="G55" s="12">
        <v>67</v>
      </c>
      <c r="H55" s="2"/>
      <c r="J55" s="9"/>
      <c r="L55" s="9">
        <f t="shared" si="0"/>
        <v>5163</v>
      </c>
      <c r="M55" s="9">
        <f t="shared" si="1"/>
        <v>4998</v>
      </c>
      <c r="N55" s="9">
        <f t="shared" si="1"/>
        <v>5505</v>
      </c>
      <c r="O55" s="9">
        <f t="shared" si="1"/>
        <v>5285</v>
      </c>
      <c r="P55" s="9"/>
      <c r="R55" s="16">
        <v>8.9999999999999993E-3</v>
      </c>
      <c r="S55" s="16">
        <v>2.1000000000000001E-2</v>
      </c>
      <c r="T55" s="16">
        <v>4.5999999999999999E-2</v>
      </c>
      <c r="U55" s="16">
        <v>2.3E-2</v>
      </c>
      <c r="W55" s="24">
        <v>0.9173</v>
      </c>
      <c r="X55" s="24">
        <v>0.90980000000000005</v>
      </c>
      <c r="Y55" s="24">
        <v>0.91710000000000003</v>
      </c>
      <c r="Z55" s="24">
        <v>0.91090000000000004</v>
      </c>
      <c r="AB55" s="24"/>
      <c r="AC55" s="24"/>
      <c r="AD55" s="24"/>
      <c r="AE55" s="24"/>
    </row>
    <row r="56" spans="2:31" s="1" customFormat="1" ht="15" thickBot="1" x14ac:dyDescent="0.25">
      <c r="B56" s="13"/>
      <c r="C56" s="6">
        <v>46</v>
      </c>
      <c r="D56" s="12">
        <v>124</v>
      </c>
      <c r="E56" s="12">
        <v>85</v>
      </c>
      <c r="F56" s="12">
        <v>100</v>
      </c>
      <c r="G56" s="12">
        <v>142</v>
      </c>
      <c r="H56" s="2"/>
      <c r="J56" s="9"/>
      <c r="L56" s="9">
        <f t="shared" si="0"/>
        <v>5287</v>
      </c>
      <c r="M56" s="9">
        <f t="shared" si="1"/>
        <v>5083</v>
      </c>
      <c r="N56" s="9">
        <f t="shared" si="1"/>
        <v>5605</v>
      </c>
      <c r="O56" s="9">
        <f t="shared" si="1"/>
        <v>5427</v>
      </c>
      <c r="P56" s="9"/>
      <c r="R56" s="16">
        <v>1E-3</v>
      </c>
      <c r="S56" s="16">
        <v>5.3999999999999999E-2</v>
      </c>
      <c r="T56" s="16">
        <v>3.6999999999999998E-2</v>
      </c>
      <c r="U56" s="16">
        <v>3.7999999999999999E-2</v>
      </c>
      <c r="W56" s="24">
        <v>0.90910000000000002</v>
      </c>
      <c r="X56" s="24">
        <v>0.91659999999999997</v>
      </c>
      <c r="Y56" s="24">
        <v>0.91159999999999997</v>
      </c>
      <c r="Z56" s="24">
        <v>0.9123</v>
      </c>
      <c r="AB56" s="24"/>
      <c r="AC56" s="24"/>
      <c r="AD56" s="24"/>
      <c r="AE56" s="24"/>
    </row>
    <row r="57" spans="2:31" s="1" customFormat="1" ht="15" thickBot="1" x14ac:dyDescent="0.25">
      <c r="B57" s="13"/>
      <c r="C57" s="6">
        <v>47</v>
      </c>
      <c r="D57" s="12">
        <v>69</v>
      </c>
      <c r="E57" s="12">
        <v>158</v>
      </c>
      <c r="F57" s="12">
        <v>61</v>
      </c>
      <c r="G57" s="12">
        <v>81</v>
      </c>
      <c r="H57" s="2"/>
      <c r="J57" s="9"/>
      <c r="L57" s="9">
        <f t="shared" si="0"/>
        <v>5356</v>
      </c>
      <c r="M57" s="9">
        <f t="shared" si="1"/>
        <v>5241</v>
      </c>
      <c r="N57" s="9">
        <f t="shared" si="1"/>
        <v>5666</v>
      </c>
      <c r="O57" s="9">
        <f t="shared" si="1"/>
        <v>5508</v>
      </c>
      <c r="P57" s="9"/>
      <c r="R57" s="16">
        <v>1.2999999999999999E-2</v>
      </c>
      <c r="S57" s="16">
        <v>1.0999999999999999E-2</v>
      </c>
      <c r="T57" s="16">
        <v>6.4000000000000001E-2</v>
      </c>
      <c r="U57" s="16">
        <v>2E-3</v>
      </c>
      <c r="W57" s="24">
        <v>0.91720000000000002</v>
      </c>
      <c r="X57" s="24">
        <v>0.91910000000000003</v>
      </c>
      <c r="Y57" s="24">
        <v>0.91600000000000004</v>
      </c>
      <c r="Z57" s="24">
        <v>0.91279999999999994</v>
      </c>
      <c r="AB57" s="24"/>
      <c r="AC57" s="24"/>
      <c r="AD57" s="24"/>
      <c r="AE57" s="24"/>
    </row>
    <row r="58" spans="2:31" s="1" customFormat="1" ht="15" thickBot="1" x14ac:dyDescent="0.25">
      <c r="B58" s="14"/>
      <c r="C58" s="15">
        <v>48</v>
      </c>
      <c r="D58" s="12">
        <v>107</v>
      </c>
      <c r="E58" s="12">
        <v>105</v>
      </c>
      <c r="F58" s="12">
        <v>108</v>
      </c>
      <c r="G58" s="12">
        <v>123</v>
      </c>
      <c r="H58" s="2"/>
      <c r="J58" s="9"/>
      <c r="L58" s="9">
        <f t="shared" si="0"/>
        <v>5463</v>
      </c>
      <c r="M58" s="9">
        <f t="shared" si="1"/>
        <v>5346</v>
      </c>
      <c r="N58" s="9">
        <f t="shared" si="1"/>
        <v>5774</v>
      </c>
      <c r="O58" s="9">
        <f t="shared" si="1"/>
        <v>5631</v>
      </c>
      <c r="P58" s="9"/>
      <c r="R58" s="16">
        <v>6.6000000000000003E-2</v>
      </c>
      <c r="S58" s="16">
        <v>5.2999999999999999E-2</v>
      </c>
      <c r="T58" s="16">
        <v>0.09</v>
      </c>
      <c r="U58" s="16">
        <v>7.4999999999999997E-2</v>
      </c>
      <c r="W58" s="24">
        <v>0.9113</v>
      </c>
      <c r="X58" s="24">
        <v>0.9113</v>
      </c>
      <c r="Y58" s="24">
        <v>0.91310000000000002</v>
      </c>
      <c r="Z58" s="24">
        <v>0.91110000000000002</v>
      </c>
      <c r="AB58" s="24"/>
      <c r="AC58" s="24"/>
      <c r="AD58" s="24"/>
      <c r="AE58" s="24"/>
    </row>
    <row r="59" spans="2:31" s="1" customFormat="1" x14ac:dyDescent="0.2"/>
  </sheetData>
  <mergeCells count="4">
    <mergeCell ref="L8:O8"/>
    <mergeCell ref="R8:U8"/>
    <mergeCell ref="W8:Z8"/>
    <mergeCell ref="D8:G8"/>
  </mergeCells>
  <phoneticPr fontId="1" type="noConversion"/>
  <printOptions horizontalCentered="1"/>
  <pageMargins left="0.19685039370078741" right="0.19685039370078741" top="0.39370078740157483" bottom="0.39370078740157483" header="0.19685039370078741" footer="0.19685039370078741"/>
  <pageSetup paperSize="9" scale="45" fitToHeight="0" orientation="portrait" r:id="rId1"/>
  <headerFooter alignWithMargins="0"/>
  <ignoredErrors>
    <ignoredError sqref="L12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LongProperties xmlns="http://schemas.microsoft.com/office/2006/metadata/longProperties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A28E1A83B2152A44B8A3DF1E2A67D874" ma:contentTypeVersion="7" ma:contentTypeDescription="Ein neues Dokument erstellen." ma:contentTypeScope="" ma:versionID="3a88f8b31e2db569ee5eecc7291a0e0e">
  <xsd:schema xmlns:xsd="http://www.w3.org/2001/XMLSchema" xmlns:p="http://schemas.microsoft.com/office/2006/metadata/properties" xmlns:ns2="104ed873-9faf-46cc-91ae-f1be11c64168" xmlns:ns3="61b22550-9d70-4111-8ff1-625934f6cbb4" targetNamespace="http://schemas.microsoft.com/office/2006/metadata/properties" ma:root="true" ma:fieldsID="6fd617fdad0ab8ebcc1b99029a72ca97" ns2:_="" ns3:_="">
    <xsd:import namespace="104ed873-9faf-46cc-91ae-f1be11c64168"/>
    <xsd:import namespace="61b22550-9d70-4111-8ff1-625934f6cbb4"/>
    <xsd:element name="properties">
      <xsd:complexType>
        <xsd:sequence>
          <xsd:element name="documentManagement">
            <xsd:complexType>
              <xsd:all>
                <xsd:element ref="ns2:Dokumententyp" minOccurs="0"/>
                <xsd:element ref="ns2:Projektphase" minOccurs="0"/>
                <xsd:element ref="ns3:Status" minOccurs="0"/>
                <xsd:element ref="ns3:Adressat" minOccurs="0"/>
                <xsd:element ref="ns3:Datum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04ed873-9faf-46cc-91ae-f1be11c64168" elementFormDefault="qualified">
    <xsd:import namespace="http://schemas.microsoft.com/office/2006/documentManagement/types"/>
    <xsd:element name="Dokumententyp" ma:index="8" nillable="true" ma:displayName="Dokumententyp" ma:list="{5C3883A0-7E69-44B4-B367-16631F8F63B8}" ma:internalName="Dokumententyp" ma:showField="Title">
      <xsd:simpleType>
        <xsd:restriction base="dms:Lookup"/>
      </xsd:simpleType>
    </xsd:element>
    <xsd:element name="Projektphase" ma:index="9" nillable="true" ma:displayName="Projektphase" ma:list="{E1D7B9C6-8741-4462-8829-1CA1E674A191}" ma:internalName="Projektphase" ma:readOnly="false" ma:showField="Title">
      <xsd:simpleType>
        <xsd:restriction base="dms:Lookup"/>
      </xsd:simpleType>
    </xsd:element>
  </xsd:schema>
  <xsd:schema xmlns:xsd="http://www.w3.org/2001/XMLSchema" xmlns:dms="http://schemas.microsoft.com/office/2006/documentManagement/types" targetNamespace="61b22550-9d70-4111-8ff1-625934f6cbb4" elementFormDefault="qualified">
    <xsd:import namespace="http://schemas.microsoft.com/office/2006/documentManagement/types"/>
    <xsd:element name="Status" ma:index="10" nillable="true" ma:displayName="Status" ma:default="Entwurf" ma:format="Dropdown" ma:internalName="Status">
      <xsd:simpleType>
        <xsd:restriction base="dms:Choice">
          <xsd:enumeration value="Entwurf"/>
          <xsd:enumeration value="Zur Abstimmung"/>
          <xsd:enumeration value="Freigegeben"/>
          <xsd:enumeration value="In Review"/>
          <xsd:enumeration value="Zurückgezogen"/>
        </xsd:restriction>
      </xsd:simpleType>
    </xsd:element>
    <xsd:element name="Adressat" ma:index="11" nillable="true" ma:displayName="Adressat" ma:default="Steering Board" ma:description="Zur Differenzierung von Präsentationen, Reports etc." ma:format="Dropdown" ma:internalName="Adressat">
      <xsd:simpleType>
        <xsd:restriction base="dms:Choice">
          <xsd:enumeration value="Steering Board"/>
          <xsd:enumeration value="Business Board"/>
          <xsd:enumeration value="Project Board"/>
        </xsd:restriction>
      </xsd:simpleType>
    </xsd:element>
    <xsd:element name="Datum" ma:index="12" nillable="true" ma:displayName="Datum" ma:description="Datum des Meetings, der Freigabe etc. Format: tt.mm.yyyy" ma:format="DateOnly" ma:internalName="Datum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 ma:readOnly="tru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jektphase xmlns="104ed873-9faf-46cc-91ae-f1be11c64168" xsi:nil="true"/>
    <Datum xmlns="61b22550-9d70-4111-8ff1-625934f6cbb4" xsi:nil="true"/>
    <Dokumententyp xmlns="104ed873-9faf-46cc-91ae-f1be11c64168" xsi:nil="true"/>
    <Adressat xmlns="61b22550-9d70-4111-8ff1-625934f6cbb4">Steering Board</Adressat>
    <Status xmlns="61b22550-9d70-4111-8ff1-625934f6cbb4">Entwurf</Status>
  </documentManagement>
</p:properties>
</file>

<file path=customXml/itemProps1.xml><?xml version="1.0" encoding="utf-8"?>
<ds:datastoreItem xmlns:ds="http://schemas.openxmlformats.org/officeDocument/2006/customXml" ds:itemID="{3D888205-C8D3-431D-BD16-6DECBC6CA41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F5CAE4F-B4A3-4304-B0EB-0BA70591FD04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11AEF257-B382-4EB8-83F8-D1C31BBF83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04ed873-9faf-46cc-91ae-f1be11c64168"/>
    <ds:schemaRef ds:uri="61b22550-9d70-4111-8ff1-625934f6cbb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4.xml><?xml version="1.0" encoding="utf-8"?>
<ds:datastoreItem xmlns:ds="http://schemas.openxmlformats.org/officeDocument/2006/customXml" ds:itemID="{831D60F1-7F30-45C7-BA1A-1A024B148270}">
  <ds:schemaRefs>
    <ds:schemaRef ds:uri="http://purl.org/dc/terms/"/>
    <ds:schemaRef ds:uri="http://purl.org/dc/dcmitype/"/>
    <ds:schemaRef ds:uri="61b22550-9d70-4111-8ff1-625934f6cbb4"/>
    <ds:schemaRef ds:uri="104ed873-9faf-46cc-91ae-f1be11c64168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calc</vt:lpstr>
      <vt:lpstr>dashboard</vt:lpstr>
      <vt:lpstr>Sheet2</vt:lpstr>
      <vt:lpstr>Sheet3</vt:lpstr>
      <vt:lpstr>data</vt:lpstr>
    </vt:vector>
  </TitlesOfParts>
  <Manager>ExcelDashboards</Manager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István Vozár</dc:creator>
  <dc:description>exceldashboardschool.com</dc:description>
  <cp:lastModifiedBy>RUPAM</cp:lastModifiedBy>
  <cp:lastPrinted>2010-01-31T15:37:39Z</cp:lastPrinted>
  <dcterms:created xsi:type="dcterms:W3CDTF">2007-09-07T07:07:46Z</dcterms:created>
  <dcterms:modified xsi:type="dcterms:W3CDTF">2019-09-24T09:10:31Z</dcterms:modified>
  <cp:category>Excel dashboards</cp:category>
</cp:coreProperties>
</file>